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myvan_e9flq9j\Downloads\"/>
    </mc:Choice>
  </mc:AlternateContent>
  <xr:revisionPtr revIDLastSave="0" documentId="13_ncr:1_{AFD085FD-F691-471D-9C1C-CDE67B0D6D99}" xr6:coauthVersionLast="47" xr6:coauthVersionMax="47" xr10:uidLastSave="{00000000-0000-0000-0000-000000000000}"/>
  <bookViews>
    <workbookView xWindow="-110" yWindow="-110" windowWidth="19420" windowHeight="10420" tabRatio="934" activeTab="1" xr2:uid="{00000000-000D-0000-FFFF-FFFF00000000}"/>
  </bookViews>
  <sheets>
    <sheet name="INSTRUCCIONES - CONDICIONES" sheetId="1" r:id="rId1"/>
    <sheet name="HOJA DE PRESENTAC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98" i="5" l="1"/>
  <c r="A99" i="5" s="1"/>
  <c r="A100" i="5" s="1"/>
  <c r="A86" i="5"/>
  <c r="A87" i="5" s="1"/>
  <c r="A88" i="5" s="1"/>
  <c r="A89" i="5" s="1"/>
  <c r="A90" i="5" s="1"/>
  <c r="A91" i="5" s="1"/>
  <c r="A92" i="5" s="1"/>
  <c r="A66" i="5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J45" i="1" l="1"/>
  <c r="J41" i="1"/>
  <c r="J40" i="1"/>
  <c r="J39" i="1"/>
  <c r="J38" i="1"/>
  <c r="J37" i="1"/>
  <c r="J36" i="1"/>
  <c r="J35" i="1"/>
  <c r="J34" i="1"/>
  <c r="J30" i="1"/>
  <c r="J26" i="1"/>
  <c r="J22" i="1"/>
  <c r="J18" i="1"/>
  <c r="J14" i="1"/>
  <c r="J13" i="1"/>
  <c r="J12" i="1"/>
  <c r="J11" i="1"/>
  <c r="J8" i="1"/>
  <c r="J6" i="1"/>
  <c r="K6" i="1" s="1"/>
  <c r="K8" i="1" l="1"/>
  <c r="K11" i="1" s="1"/>
  <c r="K12" i="1" s="1"/>
  <c r="K13" i="1" s="1"/>
  <c r="K14" i="1" s="1"/>
  <c r="K18" i="1" s="1"/>
  <c r="K22" i="1" s="1"/>
  <c r="K26" i="1" s="1"/>
  <c r="K30" i="1" s="1"/>
  <c r="K34" i="1" s="1"/>
  <c r="K35" i="1" s="1"/>
  <c r="K36" i="1" s="1"/>
  <c r="K37" i="1" s="1"/>
  <c r="K38" i="1" s="1"/>
  <c r="K39" i="1" s="1"/>
  <c r="K40" i="1" s="1"/>
  <c r="K41" i="1" s="1"/>
  <c r="K45" i="1" s="1"/>
</calcChain>
</file>

<file path=xl/sharedStrings.xml><?xml version="1.0" encoding="utf-8"?>
<sst xmlns="http://schemas.openxmlformats.org/spreadsheetml/2006/main" count="360" uniqueCount="148">
  <si>
    <t xml:space="preserve"> </t>
  </si>
  <si>
    <t>Segundo</t>
  </si>
  <si>
    <t>Tercero</t>
  </si>
  <si>
    <t>Cuarto</t>
  </si>
  <si>
    <t>Condiciones de la polla</t>
  </si>
  <si>
    <t>1.</t>
  </si>
  <si>
    <t>Acierto en el resultado del partido ( Sin importar el marcador, solo ganador o empate)</t>
  </si>
  <si>
    <t>Puntos asignados en la primera fase</t>
  </si>
  <si>
    <t>PUNTOS
(c/u)</t>
  </si>
  <si>
    <t>PUNTOS
TOTALES</t>
  </si>
  <si>
    <t>ACUM. 
PUNTOS</t>
  </si>
  <si>
    <t>Acierto en el marcador del partido (bonificación adicional al punto anterior)</t>
  </si>
  <si>
    <t>2.</t>
  </si>
  <si>
    <t>3.</t>
  </si>
  <si>
    <t>Posiciones finales de cada grupo:</t>
  </si>
  <si>
    <t>Primero del Grupo</t>
  </si>
  <si>
    <t>Segundo del Grupo</t>
  </si>
  <si>
    <t>Tercero del Grupo</t>
  </si>
  <si>
    <t>Cuarto del Grupo</t>
  </si>
  <si>
    <t>Puntos asignados en los octavos de final</t>
  </si>
  <si>
    <t>Por cada uno de los 16 equipos acertados, en cualquier orden.</t>
  </si>
  <si>
    <t>Puntos asignados en los cuartos de final</t>
  </si>
  <si>
    <t>Por cada uno de los 8 equipos acertados, en cualquier orden.</t>
  </si>
  <si>
    <t>Por cada uno de los 4 equipos acertados, en cualquier orden.</t>
  </si>
  <si>
    <t>Por cada uno de los 2 equipos acertados, en cualquier orden.</t>
  </si>
  <si>
    <t>8.</t>
  </si>
  <si>
    <t>9.</t>
  </si>
  <si>
    <t>10.</t>
  </si>
  <si>
    <t>11.</t>
  </si>
  <si>
    <t>12.</t>
  </si>
  <si>
    <t>13.</t>
  </si>
  <si>
    <t>14.</t>
  </si>
  <si>
    <t>15.</t>
  </si>
  <si>
    <t>Por el Campeón</t>
  </si>
  <si>
    <t>Por el SubCampeón</t>
  </si>
  <si>
    <t>Por el Tercero</t>
  </si>
  <si>
    <t>Por el Cuarto</t>
  </si>
  <si>
    <t>Por el Quinto</t>
  </si>
  <si>
    <t>Por el Sexto</t>
  </si>
  <si>
    <t>Por el Séptimo</t>
  </si>
  <si>
    <t>Por el Octavo</t>
  </si>
  <si>
    <t>4.</t>
  </si>
  <si>
    <t>5.</t>
  </si>
  <si>
    <t>6.</t>
  </si>
  <si>
    <t>7.</t>
  </si>
  <si>
    <t>16.</t>
  </si>
  <si>
    <t>Por el Goleador</t>
  </si>
  <si>
    <t>Puntos asignados por los equipos de la semifinal</t>
  </si>
  <si>
    <t>Puntos por los dos equipos de la final</t>
  </si>
  <si>
    <t>Puntos por las posiciones finales de los ocho mejores equipos</t>
  </si>
  <si>
    <t>Puntos por el goleador</t>
  </si>
  <si>
    <t>Alemania</t>
  </si>
  <si>
    <t>vs</t>
  </si>
  <si>
    <t>-</t>
  </si>
  <si>
    <t>Inglaterra</t>
  </si>
  <si>
    <t>Argentina</t>
  </si>
  <si>
    <t>Holanda</t>
  </si>
  <si>
    <t>Mexico</t>
  </si>
  <si>
    <t>Portugal</t>
  </si>
  <si>
    <t>USA</t>
  </si>
  <si>
    <t>Australia</t>
  </si>
  <si>
    <t>Japon</t>
  </si>
  <si>
    <t>Brasil</t>
  </si>
  <si>
    <t>Francia</t>
  </si>
  <si>
    <t>Suiza</t>
  </si>
  <si>
    <t>POSICIÓN</t>
  </si>
  <si>
    <t>GRUPO</t>
  </si>
  <si>
    <t>Primero</t>
  </si>
  <si>
    <t>A</t>
  </si>
  <si>
    <t>B</t>
  </si>
  <si>
    <t>C</t>
  </si>
  <si>
    <t>D</t>
  </si>
  <si>
    <t>E</t>
  </si>
  <si>
    <t>F</t>
  </si>
  <si>
    <t>G</t>
  </si>
  <si>
    <t>H</t>
  </si>
  <si>
    <t>España</t>
  </si>
  <si>
    <t>NOMBRE:</t>
  </si>
  <si>
    <t>E-MAIL:</t>
  </si>
  <si>
    <t>CELULAR:</t>
  </si>
  <si>
    <t>Marcador</t>
  </si>
  <si>
    <t>Uruguay</t>
  </si>
  <si>
    <t>Camerun</t>
  </si>
  <si>
    <t>Primera Fase</t>
  </si>
  <si>
    <t>Partido</t>
  </si>
  <si>
    <t>Lista de 16 equipos clasificados a octavos de final</t>
  </si>
  <si>
    <t>Lista de 8 equipos clasificados a cuartos de final</t>
  </si>
  <si>
    <t>Lista de 4 equipos clasificados a semifinal</t>
  </si>
  <si>
    <t xml:space="preserve">Posiciones finales de los 8 primeros equipos </t>
  </si>
  <si>
    <t xml:space="preserve">Goleador </t>
  </si>
  <si>
    <t>Croacia</t>
  </si>
  <si>
    <t>Costa Rica</t>
  </si>
  <si>
    <t>Ecuador</t>
  </si>
  <si>
    <t>Iran</t>
  </si>
  <si>
    <t>Belgica</t>
  </si>
  <si>
    <t>Si hay varios goleadores empatados ( por ej varios quedan con 7 goles), se le asignara el puntaje igual a los que los anotaron como goleador; sin importar cual determine la fifa.</t>
  </si>
  <si>
    <t>Arabia Saudita</t>
  </si>
  <si>
    <t>Marruecos</t>
  </si>
  <si>
    <t>Dinamarca</t>
  </si>
  <si>
    <t>Serbia</t>
  </si>
  <si>
    <t>Tunez</t>
  </si>
  <si>
    <t>Polonia</t>
  </si>
  <si>
    <t>Senegal</t>
  </si>
  <si>
    <t>En caso de que varios anoten el mismo goledor, a cada uno se le daran los 18 puntos</t>
  </si>
  <si>
    <t>Equipos clasificados a la final</t>
  </si>
  <si>
    <t>Qatar</t>
  </si>
  <si>
    <t>Gales</t>
  </si>
  <si>
    <t>Canada</t>
  </si>
  <si>
    <t>Korea</t>
  </si>
  <si>
    <t>Ganha</t>
  </si>
  <si>
    <t>Fecha maxima para entregar la polla: 15 de Noviembre de 2022</t>
  </si>
  <si>
    <t>Fecha maxima para pago: 10 de Noviembre de 2022. Quien no haya cancelado la polla ese dia no podra jugarla y se le eliminaran sus pronosticos.</t>
  </si>
  <si>
    <t>Fechas, valor y notas importantes</t>
  </si>
  <si>
    <t>Valor de la polla $ 70.000</t>
  </si>
  <si>
    <t>JUAN PABLO RAMIREZ ESCOBAR</t>
  </si>
  <si>
    <t>RJUANPABLOHB@GMAIL.COM</t>
  </si>
  <si>
    <t>HOLANDA</t>
  </si>
  <si>
    <t>ECUADOR</t>
  </si>
  <si>
    <t>QATAR</t>
  </si>
  <si>
    <t>SENEGAL</t>
  </si>
  <si>
    <t>INGLATERRA</t>
  </si>
  <si>
    <t>GALES</t>
  </si>
  <si>
    <t>IRAN</t>
  </si>
  <si>
    <t>ARGENTINA</t>
  </si>
  <si>
    <t>POLONIA</t>
  </si>
  <si>
    <t>MEXICO</t>
  </si>
  <si>
    <t>ARABIA SAUDITA</t>
  </si>
  <si>
    <t>FRANCIA</t>
  </si>
  <si>
    <t>DINAMARCA</t>
  </si>
  <si>
    <t>TUNEZ</t>
  </si>
  <si>
    <t>AUSTRALIA</t>
  </si>
  <si>
    <t>ALEMANIA</t>
  </si>
  <si>
    <t>JAPON</t>
  </si>
  <si>
    <t>ESPAÑA</t>
  </si>
  <si>
    <t>COSTA RICA</t>
  </si>
  <si>
    <t>BELGICA</t>
  </si>
  <si>
    <t>CANADA</t>
  </si>
  <si>
    <t>CROACIA</t>
  </si>
  <si>
    <t>MARRUECOS</t>
  </si>
  <si>
    <t>BRASIL</t>
  </si>
  <si>
    <t>SERBIA</t>
  </si>
  <si>
    <t>SUIZA</t>
  </si>
  <si>
    <t>CAMERUN</t>
  </si>
  <si>
    <t>PORTUGAL</t>
  </si>
  <si>
    <t>URUGUAY</t>
  </si>
  <si>
    <t>GHANA</t>
  </si>
  <si>
    <t>COREA DEL SUR</t>
  </si>
  <si>
    <t>LIONEL ANDRÈS MESSI CUCCITTINI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</si>
</sst>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&quot;de&quot;\ mmm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0"/>
      <name val="Segoe UI"/>
      <family val="2"/>
    </font>
    <font>
      <i/>
      <sz val="8"/>
      <name val="Segoe UI"/>
      <family val="2"/>
    </font>
    <font>
      <b/>
      <sz val="12"/>
      <name val="Segoe UI"/>
      <family val="2"/>
    </font>
    <font>
      <sz val="8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b/>
      <sz val="9"/>
      <color indexed="41"/>
      <name val="Segoe UI"/>
      <family val="2"/>
    </font>
    <font>
      <sz val="9"/>
      <name val="Segoe UI"/>
      <family val="2"/>
    </font>
    <font>
      <b/>
      <sz val="11"/>
      <name val="Segoe UI"/>
      <family val="2"/>
    </font>
    <font>
      <sz val="9"/>
      <color theme="1"/>
      <name val="Segoe UI"/>
      <family val="2"/>
    </font>
    <font>
      <sz val="11"/>
      <name val="Segoe UI"/>
      <family val="2"/>
    </font>
    <font>
      <sz val="10"/>
      <color indexed="18"/>
      <name val="Segoe UI"/>
      <family val="2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4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20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8" fillId="4" borderId="11" xfId="0" applyFont="1" applyFill="1" applyBorder="1" applyAlignment="1">
      <alignment horizontal="center" vertical="center"/>
    </xf>
    <xf numFmtId="0" fontId="3" fillId="3" borderId="0" xfId="0" applyFont="1" applyFill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6" fillId="7" borderId="11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left" vertical="center"/>
    </xf>
    <xf numFmtId="0" fontId="10" fillId="4" borderId="6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left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3" xfId="0" applyFont="1" applyFill="1" applyBorder="1" applyAlignment="1" applyProtection="1">
      <alignment horizontal="center" vertical="center"/>
      <protection locked="0"/>
    </xf>
    <xf numFmtId="0" fontId="18" fillId="4" borderId="6" xfId="1" applyFill="1" applyBorder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CCCCFF"/>
      <color rgb="FFFFFFCC"/>
      <color rgb="FF66FFFF"/>
      <color rgb="FF0099FF"/>
      <color rgb="FF66FF66"/>
      <color rgb="FFFFFF99"/>
      <color rgb="FFCCFF66"/>
      <color rgb="FFFFFFFF"/>
      <color rgb="FFFFCC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20933</xdr:colOff>
      <xdr:row>11</xdr:row>
      <xdr:rowOff>167472</xdr:rowOff>
    </xdr:from>
    <xdr:to>
      <xdr:col>32</xdr:col>
      <xdr:colOff>706734</xdr:colOff>
      <xdr:row>52</xdr:row>
      <xdr:rowOff>137118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D5A9C7-D33A-84A5-8B43-FD179DA80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7609" y="2355082"/>
          <a:ext cx="6882284" cy="8552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JUANPABLOH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6"/>
  <sheetViews>
    <sheetView topLeftCell="A4" workbookViewId="0">
      <selection activeCell="N10" sqref="N10"/>
    </sheetView>
  </sheetViews>
  <sheetFormatPr baseColWidth="10" defaultColWidth="11.54296875" defaultRowHeight="16" x14ac:dyDescent="0.35"/>
  <cols>
    <col min="1" max="1" width="5.1796875" style="15" customWidth="1"/>
    <col min="2" max="2" width="11.54296875" style="36"/>
    <col min="3" max="3" width="13.7265625" style="36" bestFit="1" customWidth="1"/>
    <col min="4" max="8" width="11.54296875" style="36"/>
    <col min="9" max="9" width="12.7265625" style="36" customWidth="1"/>
    <col min="10" max="11" width="11.7265625" style="36" bestFit="1" customWidth="1"/>
    <col min="12" max="16384" width="11.54296875" style="36"/>
  </cols>
  <sheetData>
    <row r="2" spans="1:11" ht="17.5" x14ac:dyDescent="0.35">
      <c r="B2" s="43" t="s">
        <v>4</v>
      </c>
      <c r="C2" s="43"/>
      <c r="D2" s="43"/>
      <c r="E2" s="43"/>
      <c r="F2" s="43"/>
      <c r="G2" s="43"/>
      <c r="H2" s="43"/>
      <c r="I2" s="43"/>
      <c r="J2" s="43"/>
      <c r="K2" s="43"/>
    </row>
    <row r="4" spans="1:11" ht="32" x14ac:dyDescent="0.35">
      <c r="B4" s="37" t="s">
        <v>7</v>
      </c>
      <c r="I4" s="35" t="s">
        <v>8</v>
      </c>
      <c r="J4" s="35" t="s">
        <v>9</v>
      </c>
      <c r="K4" s="35" t="s">
        <v>10</v>
      </c>
    </row>
    <row r="5" spans="1:11" x14ac:dyDescent="0.35">
      <c r="I5" s="14"/>
      <c r="J5" s="14"/>
      <c r="K5" s="14"/>
    </row>
    <row r="6" spans="1:11" x14ac:dyDescent="0.35">
      <c r="A6" s="15" t="s">
        <v>5</v>
      </c>
      <c r="B6" s="36" t="s">
        <v>6</v>
      </c>
      <c r="I6" s="14">
        <v>2</v>
      </c>
      <c r="J6" s="14">
        <f>I6*48</f>
        <v>96</v>
      </c>
      <c r="K6" s="14">
        <f>J6</f>
        <v>96</v>
      </c>
    </row>
    <row r="7" spans="1:11" x14ac:dyDescent="0.35">
      <c r="I7" s="14"/>
      <c r="J7" s="14"/>
      <c r="K7" s="14"/>
    </row>
    <row r="8" spans="1:11" x14ac:dyDescent="0.35">
      <c r="A8" s="15" t="s">
        <v>12</v>
      </c>
      <c r="B8" s="36" t="s">
        <v>11</v>
      </c>
      <c r="I8" s="14">
        <v>3</v>
      </c>
      <c r="J8" s="14">
        <f>I8*48</f>
        <v>144</v>
      </c>
      <c r="K8" s="14">
        <f>K6+J8</f>
        <v>240</v>
      </c>
    </row>
    <row r="9" spans="1:11" x14ac:dyDescent="0.35">
      <c r="I9" s="14"/>
      <c r="J9" s="14"/>
      <c r="K9" s="14"/>
    </row>
    <row r="10" spans="1:11" x14ac:dyDescent="0.35">
      <c r="A10" s="15" t="s">
        <v>13</v>
      </c>
      <c r="B10" s="36" t="s">
        <v>14</v>
      </c>
      <c r="I10" s="14"/>
      <c r="J10" s="14"/>
      <c r="K10" s="14"/>
    </row>
    <row r="11" spans="1:11" x14ac:dyDescent="0.35">
      <c r="B11" s="36" t="s">
        <v>15</v>
      </c>
      <c r="I11" s="14">
        <v>10</v>
      </c>
      <c r="J11" s="14">
        <f>I11*8</f>
        <v>80</v>
      </c>
      <c r="K11" s="14">
        <f>K8+J11</f>
        <v>320</v>
      </c>
    </row>
    <row r="12" spans="1:11" x14ac:dyDescent="0.35">
      <c r="B12" s="36" t="s">
        <v>16</v>
      </c>
      <c r="I12" s="14">
        <v>9</v>
      </c>
      <c r="J12" s="14">
        <f>I12*8</f>
        <v>72</v>
      </c>
      <c r="K12" s="14">
        <f>K11+J12</f>
        <v>392</v>
      </c>
    </row>
    <row r="13" spans="1:11" x14ac:dyDescent="0.35">
      <c r="B13" s="36" t="s">
        <v>17</v>
      </c>
      <c r="I13" s="14">
        <v>8</v>
      </c>
      <c r="J13" s="14">
        <f>I13*8</f>
        <v>64</v>
      </c>
      <c r="K13" s="14">
        <f>K12+J13</f>
        <v>456</v>
      </c>
    </row>
    <row r="14" spans="1:11" x14ac:dyDescent="0.35">
      <c r="B14" s="36" t="s">
        <v>18</v>
      </c>
      <c r="I14" s="14">
        <v>7</v>
      </c>
      <c r="J14" s="14">
        <f>I14*8</f>
        <v>56</v>
      </c>
      <c r="K14" s="14">
        <f>K13+J14</f>
        <v>512</v>
      </c>
    </row>
    <row r="15" spans="1:11" x14ac:dyDescent="0.35">
      <c r="I15" s="14"/>
      <c r="J15" s="14"/>
      <c r="K15" s="14"/>
    </row>
    <row r="16" spans="1:11" ht="32" x14ac:dyDescent="0.35">
      <c r="B16" s="37" t="s">
        <v>19</v>
      </c>
      <c r="C16" s="38"/>
      <c r="D16" s="38"/>
      <c r="E16" s="38"/>
      <c r="F16" s="38"/>
      <c r="G16" s="38"/>
      <c r="H16" s="38"/>
      <c r="I16" s="35" t="s">
        <v>8</v>
      </c>
      <c r="J16" s="35" t="s">
        <v>9</v>
      </c>
      <c r="K16" s="35" t="s">
        <v>10</v>
      </c>
    </row>
    <row r="17" spans="1:11" x14ac:dyDescent="0.35">
      <c r="B17" s="2"/>
      <c r="C17" s="2"/>
      <c r="D17" s="2"/>
      <c r="E17" s="2"/>
      <c r="F17" s="2"/>
      <c r="G17" s="2"/>
      <c r="H17" s="2"/>
      <c r="I17" s="8"/>
      <c r="J17" s="8"/>
      <c r="K17" s="8"/>
    </row>
    <row r="18" spans="1:11" x14ac:dyDescent="0.35">
      <c r="A18" s="15" t="s">
        <v>41</v>
      </c>
      <c r="B18" s="36" t="s">
        <v>20</v>
      </c>
      <c r="I18" s="14">
        <v>5</v>
      </c>
      <c r="J18" s="14">
        <f>I18*16</f>
        <v>80</v>
      </c>
      <c r="K18" s="14">
        <f>K14+J18</f>
        <v>592</v>
      </c>
    </row>
    <row r="19" spans="1:11" x14ac:dyDescent="0.35">
      <c r="I19" s="14"/>
      <c r="J19" s="14"/>
      <c r="K19" s="14"/>
    </row>
    <row r="20" spans="1:11" ht="32" x14ac:dyDescent="0.35">
      <c r="B20" s="37" t="s">
        <v>21</v>
      </c>
      <c r="C20" s="38"/>
      <c r="D20" s="38"/>
      <c r="E20" s="38"/>
      <c r="F20" s="38"/>
      <c r="G20" s="38"/>
      <c r="H20" s="38"/>
      <c r="I20" s="35" t="s">
        <v>8</v>
      </c>
      <c r="J20" s="35" t="s">
        <v>9</v>
      </c>
      <c r="K20" s="35" t="s">
        <v>10</v>
      </c>
    </row>
    <row r="21" spans="1:11" x14ac:dyDescent="0.35">
      <c r="I21" s="14"/>
      <c r="J21" s="14"/>
      <c r="K21" s="14"/>
    </row>
    <row r="22" spans="1:11" x14ac:dyDescent="0.35">
      <c r="A22" s="15" t="s">
        <v>42</v>
      </c>
      <c r="B22" s="36" t="s">
        <v>22</v>
      </c>
      <c r="I22" s="14">
        <v>10</v>
      </c>
      <c r="J22" s="14">
        <f>I22*8</f>
        <v>80</v>
      </c>
      <c r="K22" s="14">
        <f>K18+J22</f>
        <v>672</v>
      </c>
    </row>
    <row r="23" spans="1:11" x14ac:dyDescent="0.35">
      <c r="I23" s="14"/>
      <c r="J23" s="14"/>
      <c r="K23" s="14"/>
    </row>
    <row r="24" spans="1:11" ht="32" x14ac:dyDescent="0.35">
      <c r="B24" s="37" t="s">
        <v>47</v>
      </c>
      <c r="C24" s="38"/>
      <c r="D24" s="38"/>
      <c r="E24" s="38"/>
      <c r="F24" s="38"/>
      <c r="G24" s="38"/>
      <c r="H24" s="38"/>
      <c r="I24" s="35" t="s">
        <v>8</v>
      </c>
      <c r="J24" s="35" t="s">
        <v>9</v>
      </c>
      <c r="K24" s="35" t="s">
        <v>10</v>
      </c>
    </row>
    <row r="25" spans="1:11" x14ac:dyDescent="0.35">
      <c r="I25" s="14"/>
      <c r="J25" s="14"/>
      <c r="K25" s="14"/>
    </row>
    <row r="26" spans="1:11" x14ac:dyDescent="0.35">
      <c r="A26" s="15" t="s">
        <v>43</v>
      </c>
      <c r="B26" s="36" t="s">
        <v>23</v>
      </c>
      <c r="I26" s="14">
        <v>15</v>
      </c>
      <c r="J26" s="14">
        <f>I26*4</f>
        <v>60</v>
      </c>
      <c r="K26" s="14">
        <f>K22+J26</f>
        <v>732</v>
      </c>
    </row>
    <row r="27" spans="1:11" x14ac:dyDescent="0.35">
      <c r="I27" s="14"/>
      <c r="J27" s="14"/>
      <c r="K27" s="14"/>
    </row>
    <row r="28" spans="1:11" ht="32" x14ac:dyDescent="0.35">
      <c r="B28" s="37" t="s">
        <v>48</v>
      </c>
      <c r="C28" s="38"/>
      <c r="D28" s="38"/>
      <c r="E28" s="38"/>
      <c r="F28" s="38"/>
      <c r="G28" s="38"/>
      <c r="H28" s="38"/>
      <c r="I28" s="35" t="s">
        <v>8</v>
      </c>
      <c r="J28" s="35" t="s">
        <v>9</v>
      </c>
      <c r="K28" s="35" t="s">
        <v>10</v>
      </c>
    </row>
    <row r="29" spans="1:11" x14ac:dyDescent="0.35">
      <c r="I29" s="14"/>
      <c r="J29" s="14"/>
      <c r="K29" s="14"/>
    </row>
    <row r="30" spans="1:11" x14ac:dyDescent="0.35">
      <c r="A30" s="15" t="s">
        <v>44</v>
      </c>
      <c r="B30" s="36" t="s">
        <v>24</v>
      </c>
      <c r="I30" s="14">
        <v>20</v>
      </c>
      <c r="J30" s="14">
        <f>I30*2</f>
        <v>40</v>
      </c>
      <c r="K30" s="14">
        <f>K26+J30</f>
        <v>772</v>
      </c>
    </row>
    <row r="31" spans="1:11" x14ac:dyDescent="0.35">
      <c r="I31" s="14"/>
      <c r="J31" s="14"/>
      <c r="K31" s="14"/>
    </row>
    <row r="32" spans="1:11" ht="32" x14ac:dyDescent="0.35">
      <c r="B32" s="37" t="s">
        <v>49</v>
      </c>
      <c r="C32" s="38"/>
      <c r="D32" s="38"/>
      <c r="E32" s="38"/>
      <c r="F32" s="38"/>
      <c r="G32" s="38"/>
      <c r="H32" s="38"/>
      <c r="I32" s="35" t="s">
        <v>8</v>
      </c>
      <c r="J32" s="35" t="s">
        <v>9</v>
      </c>
      <c r="K32" s="35" t="s">
        <v>10</v>
      </c>
    </row>
    <row r="33" spans="1:11" x14ac:dyDescent="0.35">
      <c r="I33" s="14"/>
      <c r="J33" s="14"/>
      <c r="K33" s="14"/>
    </row>
    <row r="34" spans="1:11" x14ac:dyDescent="0.35">
      <c r="A34" s="15" t="s">
        <v>25</v>
      </c>
      <c r="B34" s="36" t="s">
        <v>33</v>
      </c>
      <c r="I34" s="14">
        <v>70</v>
      </c>
      <c r="J34" s="14">
        <f>I34</f>
        <v>70</v>
      </c>
      <c r="K34" s="14">
        <f>K30+J34</f>
        <v>842</v>
      </c>
    </row>
    <row r="35" spans="1:11" x14ac:dyDescent="0.35">
      <c r="A35" s="15" t="s">
        <v>26</v>
      </c>
      <c r="B35" s="36" t="s">
        <v>34</v>
      </c>
      <c r="I35" s="14">
        <v>50</v>
      </c>
      <c r="J35" s="14">
        <f t="shared" ref="J35:J41" si="0">I35</f>
        <v>50</v>
      </c>
      <c r="K35" s="14">
        <f>K34+J35</f>
        <v>892</v>
      </c>
    </row>
    <row r="36" spans="1:11" x14ac:dyDescent="0.35">
      <c r="A36" s="15" t="s">
        <v>27</v>
      </c>
      <c r="B36" s="36" t="s">
        <v>35</v>
      </c>
      <c r="I36" s="14">
        <v>35</v>
      </c>
      <c r="J36" s="14">
        <f t="shared" si="0"/>
        <v>35</v>
      </c>
      <c r="K36" s="14">
        <f t="shared" ref="K36:K41" si="1">K35+J36</f>
        <v>927</v>
      </c>
    </row>
    <row r="37" spans="1:11" x14ac:dyDescent="0.35">
      <c r="A37" s="15" t="s">
        <v>28</v>
      </c>
      <c r="B37" s="36" t="s">
        <v>36</v>
      </c>
      <c r="I37" s="14">
        <v>25</v>
      </c>
      <c r="J37" s="14">
        <f t="shared" si="0"/>
        <v>25</v>
      </c>
      <c r="K37" s="14">
        <f t="shared" si="1"/>
        <v>952</v>
      </c>
    </row>
    <row r="38" spans="1:11" x14ac:dyDescent="0.35">
      <c r="A38" s="15" t="s">
        <v>29</v>
      </c>
      <c r="B38" s="36" t="s">
        <v>37</v>
      </c>
      <c r="I38" s="14">
        <v>9</v>
      </c>
      <c r="J38" s="14">
        <f t="shared" si="0"/>
        <v>9</v>
      </c>
      <c r="K38" s="14">
        <f t="shared" si="1"/>
        <v>961</v>
      </c>
    </row>
    <row r="39" spans="1:11" x14ac:dyDescent="0.35">
      <c r="A39" s="15" t="s">
        <v>30</v>
      </c>
      <c r="B39" s="36" t="s">
        <v>38</v>
      </c>
      <c r="I39" s="14">
        <v>8</v>
      </c>
      <c r="J39" s="14">
        <f t="shared" si="0"/>
        <v>8</v>
      </c>
      <c r="K39" s="14">
        <f t="shared" si="1"/>
        <v>969</v>
      </c>
    </row>
    <row r="40" spans="1:11" x14ac:dyDescent="0.35">
      <c r="A40" s="15" t="s">
        <v>31</v>
      </c>
      <c r="B40" s="36" t="s">
        <v>39</v>
      </c>
      <c r="I40" s="14">
        <v>7</v>
      </c>
      <c r="J40" s="14">
        <f t="shared" si="0"/>
        <v>7</v>
      </c>
      <c r="K40" s="14">
        <f t="shared" si="1"/>
        <v>976</v>
      </c>
    </row>
    <row r="41" spans="1:11" x14ac:dyDescent="0.35">
      <c r="A41" s="15" t="s">
        <v>32</v>
      </c>
      <c r="B41" s="36" t="s">
        <v>40</v>
      </c>
      <c r="I41" s="14">
        <v>6</v>
      </c>
      <c r="J41" s="14">
        <f t="shared" si="0"/>
        <v>6</v>
      </c>
      <c r="K41" s="14">
        <f t="shared" si="1"/>
        <v>982</v>
      </c>
    </row>
    <row r="42" spans="1:11" x14ac:dyDescent="0.35">
      <c r="I42" s="14"/>
      <c r="J42" s="14"/>
      <c r="K42" s="14"/>
    </row>
    <row r="43" spans="1:11" ht="32" x14ac:dyDescent="0.35">
      <c r="B43" s="37" t="s">
        <v>50</v>
      </c>
      <c r="C43" s="38"/>
      <c r="D43" s="38"/>
      <c r="E43" s="38"/>
      <c r="F43" s="38"/>
      <c r="G43" s="38"/>
      <c r="H43" s="38"/>
      <c r="I43" s="35" t="s">
        <v>8</v>
      </c>
      <c r="J43" s="35" t="s">
        <v>9</v>
      </c>
      <c r="K43" s="35" t="s">
        <v>10</v>
      </c>
    </row>
    <row r="44" spans="1:11" x14ac:dyDescent="0.35">
      <c r="I44" s="14"/>
      <c r="J44" s="14"/>
      <c r="K44" s="14"/>
    </row>
    <row r="45" spans="1:11" x14ac:dyDescent="0.35">
      <c r="A45" s="15" t="s">
        <v>45</v>
      </c>
      <c r="B45" s="36" t="s">
        <v>46</v>
      </c>
      <c r="I45" s="14">
        <v>18</v>
      </c>
      <c r="J45" s="14">
        <f>I45</f>
        <v>18</v>
      </c>
      <c r="K45" s="34">
        <f>K41+J45</f>
        <v>1000</v>
      </c>
    </row>
    <row r="47" spans="1:11" x14ac:dyDescent="0.35">
      <c r="B47" s="2" t="s">
        <v>103</v>
      </c>
    </row>
    <row r="48" spans="1:11" x14ac:dyDescent="0.35">
      <c r="B48" s="2" t="s">
        <v>95</v>
      </c>
      <c r="E48" s="2"/>
    </row>
    <row r="49" spans="2:11" x14ac:dyDescent="0.35">
      <c r="B49" s="2"/>
      <c r="E49" s="2"/>
    </row>
    <row r="50" spans="2:11" ht="17.5" x14ac:dyDescent="0.35">
      <c r="B50" s="43" t="s">
        <v>112</v>
      </c>
      <c r="C50" s="43"/>
      <c r="D50" s="43"/>
      <c r="E50" s="43"/>
      <c r="F50" s="43"/>
      <c r="G50" s="43"/>
      <c r="H50" s="43"/>
      <c r="I50" s="43"/>
      <c r="J50" s="43"/>
      <c r="K50" s="43"/>
    </row>
    <row r="51" spans="2:11" x14ac:dyDescent="0.35">
      <c r="E51" s="2"/>
    </row>
    <row r="52" spans="2:11" x14ac:dyDescent="0.35">
      <c r="B52" s="36" t="s">
        <v>110</v>
      </c>
    </row>
    <row r="54" spans="2:11" x14ac:dyDescent="0.35">
      <c r="B54" s="36" t="s">
        <v>111</v>
      </c>
    </row>
    <row r="56" spans="2:11" x14ac:dyDescent="0.35">
      <c r="B56" s="36" t="s">
        <v>113</v>
      </c>
    </row>
  </sheetData>
  <mergeCells count="2">
    <mergeCell ref="B2:K2"/>
    <mergeCell ref="B50:K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3"/>
  <sheetViews>
    <sheetView tabSelected="1" zoomScale="91" zoomScaleNormal="90" workbookViewId="0">
      <selection activeCell="B119" sqref="B119"/>
    </sheetView>
  </sheetViews>
  <sheetFormatPr baseColWidth="10" defaultColWidth="11.54296875" defaultRowHeight="16.5" x14ac:dyDescent="0.35"/>
  <cols>
    <col min="1" max="1" width="6" style="15" customWidth="1"/>
    <col min="2" max="2" width="15.7265625" style="3" customWidth="1"/>
    <col min="3" max="3" width="2.7265625" style="3" customWidth="1"/>
    <col min="4" max="4" width="15.7265625" style="3" customWidth="1"/>
    <col min="5" max="5" width="3.7265625" style="3" customWidth="1"/>
    <col min="6" max="6" width="2.7265625" style="1" customWidth="1"/>
    <col min="7" max="7" width="8.1796875" style="3" customWidth="1"/>
    <col min="8" max="8" width="11.54296875" style="3"/>
    <col min="9" max="9" width="9.54296875" style="3" customWidth="1"/>
    <col min="10" max="12" width="3.7265625" style="3" customWidth="1"/>
    <col min="13" max="13" width="4.1796875" style="3" customWidth="1"/>
    <col min="14" max="14" width="3.7265625" style="3" customWidth="1"/>
    <col min="15" max="15" width="6.26953125" style="3" bestFit="1" customWidth="1"/>
    <col min="16" max="16" width="6.7265625" style="3" customWidth="1"/>
    <col min="17" max="19" width="3.7265625" style="3" customWidth="1"/>
    <col min="20" max="20" width="5" style="3" customWidth="1"/>
    <col min="21" max="22" width="3.7265625" style="3" customWidth="1"/>
    <col min="23" max="23" width="7.7265625" style="3" customWidth="1"/>
    <col min="24" max="16384" width="11.54296875" style="3"/>
  </cols>
  <sheetData>
    <row r="1" spans="2:26" ht="17.5" x14ac:dyDescent="0.35"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5"/>
      <c r="O1" s="6"/>
      <c r="P1" s="7"/>
      <c r="Q1" s="2"/>
    </row>
    <row r="2" spans="2:26" x14ac:dyDescent="0.35">
      <c r="B2" s="32" t="s">
        <v>77</v>
      </c>
      <c r="C2" s="46" t="s">
        <v>114</v>
      </c>
      <c r="D2" s="46"/>
      <c r="E2" s="46"/>
      <c r="F2" s="46"/>
      <c r="G2" s="46"/>
      <c r="H2" s="46"/>
      <c r="I2" s="46"/>
      <c r="J2" s="46"/>
      <c r="K2" s="46"/>
      <c r="L2" s="46"/>
      <c r="Q2" s="2"/>
    </row>
    <row r="3" spans="2:26" x14ac:dyDescent="0.35">
      <c r="B3" s="30"/>
      <c r="C3" s="30"/>
      <c r="D3" s="30"/>
      <c r="E3" s="30"/>
      <c r="F3" s="31"/>
      <c r="G3" s="30"/>
      <c r="H3" s="30"/>
      <c r="I3" s="30"/>
      <c r="J3" s="30"/>
      <c r="K3" s="30"/>
      <c r="L3" s="30"/>
      <c r="Q3" s="2"/>
    </row>
    <row r="4" spans="2:26" x14ac:dyDescent="0.35">
      <c r="B4" s="32" t="s">
        <v>78</v>
      </c>
      <c r="C4" s="57" t="s">
        <v>115</v>
      </c>
      <c r="D4" s="46"/>
      <c r="E4" s="46"/>
      <c r="F4" s="46"/>
      <c r="G4" s="46"/>
      <c r="H4" s="46"/>
      <c r="I4" s="46"/>
      <c r="J4" s="46"/>
      <c r="K4" s="46"/>
      <c r="L4" s="46"/>
      <c r="Q4" s="2"/>
      <c r="Z4"/>
    </row>
    <row r="5" spans="2:26" x14ac:dyDescent="0.35">
      <c r="B5" s="30"/>
      <c r="C5" s="30"/>
      <c r="D5" s="30"/>
      <c r="E5" s="30"/>
      <c r="F5" s="31"/>
      <c r="G5" s="30"/>
      <c r="H5" s="30"/>
      <c r="I5" s="30"/>
      <c r="J5" s="30"/>
      <c r="K5" s="30"/>
      <c r="L5" s="30"/>
      <c r="M5" s="2"/>
      <c r="N5" s="2"/>
      <c r="O5" s="2"/>
      <c r="P5" s="2"/>
      <c r="Q5" s="2"/>
    </row>
    <row r="6" spans="2:26" x14ac:dyDescent="0.35">
      <c r="B6" s="33" t="s">
        <v>79</v>
      </c>
      <c r="C6" s="46">
        <v>3117715991</v>
      </c>
      <c r="D6" s="46"/>
      <c r="E6" s="46"/>
      <c r="F6" s="46"/>
      <c r="G6" s="46"/>
      <c r="H6" s="46"/>
      <c r="I6" s="46"/>
      <c r="J6" s="46"/>
      <c r="K6" s="46"/>
      <c r="L6" s="46"/>
      <c r="M6" s="2"/>
      <c r="N6" s="2"/>
      <c r="O6" s="2"/>
      <c r="P6" s="2"/>
      <c r="Q6" s="2"/>
    </row>
    <row r="7" spans="2:26" x14ac:dyDescent="0.35">
      <c r="B7" s="16"/>
      <c r="C7" s="17"/>
      <c r="D7" s="17"/>
      <c r="E7" s="17"/>
      <c r="F7" s="17"/>
      <c r="G7" s="17"/>
      <c r="H7" s="17"/>
      <c r="I7" s="17"/>
      <c r="J7" s="17"/>
      <c r="K7" s="2"/>
      <c r="L7" s="2"/>
      <c r="M7" s="2"/>
      <c r="N7" s="2"/>
      <c r="O7" s="2"/>
      <c r="P7" s="2"/>
      <c r="Q7" s="2"/>
    </row>
    <row r="8" spans="2:26" ht="14.25" customHeight="1" x14ac:dyDescent="0.35">
      <c r="B8" s="9"/>
      <c r="C8" s="2"/>
      <c r="D8" s="2"/>
      <c r="E8" s="2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26" ht="14.25" customHeight="1" x14ac:dyDescent="0.35">
      <c r="F9" s="3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26" ht="14.25" customHeight="1" x14ac:dyDescent="0.35">
      <c r="B10" s="45" t="s">
        <v>83</v>
      </c>
      <c r="C10" s="45"/>
      <c r="D10" s="45"/>
      <c r="E10" s="45"/>
      <c r="F10" s="45"/>
      <c r="G10" s="45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26" ht="14.25" customHeight="1" x14ac:dyDescent="0.35">
      <c r="F11" s="3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2:26" x14ac:dyDescent="0.35">
      <c r="B12" s="52" t="s">
        <v>84</v>
      </c>
      <c r="C12" s="52"/>
      <c r="D12" s="52"/>
      <c r="E12" s="51" t="s">
        <v>80</v>
      </c>
      <c r="F12" s="51"/>
      <c r="G12" s="51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26" x14ac:dyDescent="0.35">
      <c r="B13" s="41" t="s">
        <v>102</v>
      </c>
      <c r="C13" s="10" t="s">
        <v>52</v>
      </c>
      <c r="D13" s="41" t="s">
        <v>56</v>
      </c>
      <c r="E13" s="21">
        <v>0</v>
      </c>
      <c r="F13" s="22"/>
      <c r="G13" s="23">
        <v>3</v>
      </c>
      <c r="H13" s="2"/>
      <c r="I13" s="12" t="s">
        <v>0</v>
      </c>
      <c r="J13" s="47" t="s">
        <v>65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8"/>
    </row>
    <row r="14" spans="2:26" x14ac:dyDescent="0.35">
      <c r="B14" s="41" t="s">
        <v>105</v>
      </c>
      <c r="C14" s="10" t="s">
        <v>52</v>
      </c>
      <c r="D14" s="41" t="s">
        <v>92</v>
      </c>
      <c r="E14" s="24">
        <v>1</v>
      </c>
      <c r="F14" s="25"/>
      <c r="G14" s="26">
        <v>1</v>
      </c>
      <c r="H14" s="2"/>
      <c r="I14" s="39" t="s">
        <v>66</v>
      </c>
      <c r="J14" s="49" t="s">
        <v>67</v>
      </c>
      <c r="K14" s="49"/>
      <c r="L14" s="49"/>
      <c r="M14" s="49"/>
      <c r="N14" s="49" t="s">
        <v>1</v>
      </c>
      <c r="O14" s="49"/>
      <c r="P14" s="49"/>
      <c r="Q14" s="49" t="s">
        <v>2</v>
      </c>
      <c r="R14" s="49"/>
      <c r="S14" s="49"/>
      <c r="T14" s="49"/>
      <c r="U14" s="49" t="s">
        <v>3</v>
      </c>
      <c r="V14" s="49"/>
      <c r="W14" s="49"/>
    </row>
    <row r="15" spans="2:26" x14ac:dyDescent="0.35">
      <c r="B15" s="41" t="s">
        <v>105</v>
      </c>
      <c r="C15" s="10" t="s">
        <v>52</v>
      </c>
      <c r="D15" s="41" t="s">
        <v>102</v>
      </c>
      <c r="E15" s="24">
        <v>2</v>
      </c>
      <c r="F15" s="25"/>
      <c r="G15" s="26">
        <v>2</v>
      </c>
      <c r="H15" s="2"/>
      <c r="I15" s="40" t="s">
        <v>68</v>
      </c>
      <c r="J15" s="54" t="s">
        <v>116</v>
      </c>
      <c r="K15" s="55"/>
      <c r="L15" s="55"/>
      <c r="M15" s="56"/>
      <c r="N15" s="44" t="s">
        <v>117</v>
      </c>
      <c r="O15" s="44"/>
      <c r="P15" s="44"/>
      <c r="Q15" s="44" t="s">
        <v>118</v>
      </c>
      <c r="R15" s="44"/>
      <c r="S15" s="44"/>
      <c r="T15" s="44"/>
      <c r="U15" s="44" t="s">
        <v>119</v>
      </c>
      <c r="V15" s="44"/>
      <c r="W15" s="44"/>
    </row>
    <row r="16" spans="2:26" x14ac:dyDescent="0.35">
      <c r="B16" s="41" t="s">
        <v>56</v>
      </c>
      <c r="C16" s="10" t="s">
        <v>52</v>
      </c>
      <c r="D16" s="41" t="s">
        <v>92</v>
      </c>
      <c r="E16" s="24">
        <v>3</v>
      </c>
      <c r="F16" s="25" t="s">
        <v>53</v>
      </c>
      <c r="G16" s="26">
        <v>2</v>
      </c>
      <c r="H16" s="2"/>
      <c r="I16" s="40" t="s">
        <v>69</v>
      </c>
      <c r="J16" s="44" t="s">
        <v>120</v>
      </c>
      <c r="K16" s="44"/>
      <c r="L16" s="44"/>
      <c r="M16" s="44"/>
      <c r="N16" s="44" t="s">
        <v>59</v>
      </c>
      <c r="O16" s="44"/>
      <c r="P16" s="44"/>
      <c r="Q16" s="44" t="s">
        <v>121</v>
      </c>
      <c r="R16" s="44"/>
      <c r="S16" s="44"/>
      <c r="T16" s="44"/>
      <c r="U16" s="44" t="s">
        <v>122</v>
      </c>
      <c r="V16" s="44"/>
      <c r="W16" s="44"/>
    </row>
    <row r="17" spans="2:23" x14ac:dyDescent="0.35">
      <c r="B17" s="41" t="s">
        <v>56</v>
      </c>
      <c r="C17" s="10" t="s">
        <v>52</v>
      </c>
      <c r="D17" s="41" t="s">
        <v>105</v>
      </c>
      <c r="E17" s="24">
        <v>1</v>
      </c>
      <c r="F17" s="25" t="s">
        <v>53</v>
      </c>
      <c r="G17" s="26">
        <v>0</v>
      </c>
      <c r="H17" s="2"/>
      <c r="I17" s="40" t="s">
        <v>70</v>
      </c>
      <c r="J17" s="44" t="s">
        <v>123</v>
      </c>
      <c r="K17" s="44"/>
      <c r="L17" s="44"/>
      <c r="M17" s="44"/>
      <c r="N17" s="44" t="s">
        <v>124</v>
      </c>
      <c r="O17" s="44"/>
      <c r="P17" s="44"/>
      <c r="Q17" s="44" t="s">
        <v>125</v>
      </c>
      <c r="R17" s="44"/>
      <c r="S17" s="44"/>
      <c r="T17" s="44"/>
      <c r="U17" s="44" t="s">
        <v>126</v>
      </c>
      <c r="V17" s="44"/>
      <c r="W17" s="44"/>
    </row>
    <row r="18" spans="2:23" x14ac:dyDescent="0.35">
      <c r="B18" s="41" t="s">
        <v>92</v>
      </c>
      <c r="C18" s="10" t="s">
        <v>52</v>
      </c>
      <c r="D18" s="41" t="s">
        <v>102</v>
      </c>
      <c r="E18" s="24">
        <v>2</v>
      </c>
      <c r="F18" s="25" t="s">
        <v>53</v>
      </c>
      <c r="G18" s="26">
        <v>1</v>
      </c>
      <c r="H18" s="2"/>
      <c r="I18" s="40" t="s">
        <v>71</v>
      </c>
      <c r="J18" s="44" t="s">
        <v>127</v>
      </c>
      <c r="K18" s="44"/>
      <c r="L18" s="44"/>
      <c r="M18" s="44"/>
      <c r="N18" s="44" t="s">
        <v>128</v>
      </c>
      <c r="O18" s="44"/>
      <c r="P18" s="44"/>
      <c r="Q18" s="44" t="s">
        <v>129</v>
      </c>
      <c r="R18" s="44"/>
      <c r="S18" s="44"/>
      <c r="T18" s="44"/>
      <c r="U18" s="44" t="s">
        <v>130</v>
      </c>
      <c r="V18" s="44"/>
      <c r="W18" s="44"/>
    </row>
    <row r="19" spans="2:23" x14ac:dyDescent="0.35">
      <c r="B19" s="41" t="s">
        <v>54</v>
      </c>
      <c r="C19" s="10" t="s">
        <v>52</v>
      </c>
      <c r="D19" s="41" t="s">
        <v>93</v>
      </c>
      <c r="E19" s="24">
        <v>4</v>
      </c>
      <c r="F19" s="25" t="s">
        <v>53</v>
      </c>
      <c r="G19" s="26">
        <v>0</v>
      </c>
      <c r="H19" s="2"/>
      <c r="I19" s="40" t="s">
        <v>72</v>
      </c>
      <c r="J19" s="44" t="s">
        <v>131</v>
      </c>
      <c r="K19" s="44"/>
      <c r="L19" s="44"/>
      <c r="M19" s="44"/>
      <c r="N19" s="44" t="s">
        <v>132</v>
      </c>
      <c r="O19" s="44"/>
      <c r="P19" s="44"/>
      <c r="Q19" s="44" t="s">
        <v>133</v>
      </c>
      <c r="R19" s="44"/>
      <c r="S19" s="44"/>
      <c r="T19" s="44"/>
      <c r="U19" s="44" t="s">
        <v>134</v>
      </c>
      <c r="V19" s="44"/>
      <c r="W19" s="44"/>
    </row>
    <row r="20" spans="2:23" x14ac:dyDescent="0.35">
      <c r="B20" s="41" t="s">
        <v>59</v>
      </c>
      <c r="C20" s="10" t="s">
        <v>52</v>
      </c>
      <c r="D20" s="41" t="s">
        <v>106</v>
      </c>
      <c r="E20" s="24">
        <v>3</v>
      </c>
      <c r="F20" s="25" t="s">
        <v>53</v>
      </c>
      <c r="G20" s="26">
        <v>1</v>
      </c>
      <c r="H20" s="2"/>
      <c r="I20" s="40" t="s">
        <v>73</v>
      </c>
      <c r="J20" s="44" t="s">
        <v>135</v>
      </c>
      <c r="K20" s="44"/>
      <c r="L20" s="44"/>
      <c r="M20" s="44"/>
      <c r="N20" s="44" t="s">
        <v>136</v>
      </c>
      <c r="O20" s="44"/>
      <c r="P20" s="44"/>
      <c r="Q20" s="44" t="s">
        <v>137</v>
      </c>
      <c r="R20" s="44"/>
      <c r="S20" s="44"/>
      <c r="T20" s="44"/>
      <c r="U20" s="44" t="s">
        <v>138</v>
      </c>
      <c r="V20" s="44"/>
      <c r="W20" s="44"/>
    </row>
    <row r="21" spans="2:23" x14ac:dyDescent="0.35">
      <c r="B21" s="41" t="s">
        <v>106</v>
      </c>
      <c r="C21" s="10" t="s">
        <v>52</v>
      </c>
      <c r="D21" s="41" t="s">
        <v>93</v>
      </c>
      <c r="E21" s="24">
        <v>1</v>
      </c>
      <c r="F21" s="25" t="s">
        <v>53</v>
      </c>
      <c r="G21" s="26">
        <v>0</v>
      </c>
      <c r="H21" s="2"/>
      <c r="I21" s="40" t="s">
        <v>74</v>
      </c>
      <c r="J21" s="44" t="s">
        <v>139</v>
      </c>
      <c r="K21" s="44"/>
      <c r="L21" s="44"/>
      <c r="M21" s="44"/>
      <c r="N21" s="44" t="s">
        <v>140</v>
      </c>
      <c r="O21" s="44"/>
      <c r="P21" s="44"/>
      <c r="Q21" s="44" t="s">
        <v>141</v>
      </c>
      <c r="R21" s="44"/>
      <c r="S21" s="44"/>
      <c r="T21" s="44"/>
      <c r="U21" s="44" t="s">
        <v>142</v>
      </c>
      <c r="V21" s="44"/>
      <c r="W21" s="44"/>
    </row>
    <row r="22" spans="2:23" x14ac:dyDescent="0.35">
      <c r="B22" s="41" t="s">
        <v>54</v>
      </c>
      <c r="C22" s="10" t="s">
        <v>52</v>
      </c>
      <c r="D22" s="41" t="s">
        <v>59</v>
      </c>
      <c r="E22" s="24">
        <v>3</v>
      </c>
      <c r="F22" s="25" t="s">
        <v>53</v>
      </c>
      <c r="G22" s="26">
        <v>2</v>
      </c>
      <c r="H22" s="2"/>
      <c r="I22" s="40" t="s">
        <v>75</v>
      </c>
      <c r="J22" s="44" t="s">
        <v>143</v>
      </c>
      <c r="K22" s="44"/>
      <c r="L22" s="44"/>
      <c r="M22" s="44"/>
      <c r="N22" s="44" t="s">
        <v>144</v>
      </c>
      <c r="O22" s="44"/>
      <c r="P22" s="44"/>
      <c r="Q22" s="44" t="s">
        <v>145</v>
      </c>
      <c r="R22" s="44"/>
      <c r="S22" s="44"/>
      <c r="T22" s="44"/>
      <c r="U22" s="44" t="s">
        <v>146</v>
      </c>
      <c r="V22" s="44"/>
      <c r="W22" s="44"/>
    </row>
    <row r="23" spans="2:23" x14ac:dyDescent="0.35">
      <c r="B23" s="41" t="s">
        <v>93</v>
      </c>
      <c r="C23" s="10" t="s">
        <v>52</v>
      </c>
      <c r="D23" s="41" t="s">
        <v>59</v>
      </c>
      <c r="E23" s="24">
        <v>1</v>
      </c>
      <c r="F23" s="25" t="s">
        <v>53</v>
      </c>
      <c r="G23" s="26">
        <v>4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23" x14ac:dyDescent="0.35">
      <c r="B24" s="41" t="s">
        <v>106</v>
      </c>
      <c r="C24" s="10" t="s">
        <v>52</v>
      </c>
      <c r="D24" s="41" t="s">
        <v>54</v>
      </c>
      <c r="E24" s="24">
        <v>0</v>
      </c>
      <c r="F24" s="25" t="s">
        <v>53</v>
      </c>
      <c r="G24" s="26">
        <v>2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23" x14ac:dyDescent="0.35">
      <c r="B25" s="41" t="s">
        <v>55</v>
      </c>
      <c r="C25" s="10" t="s">
        <v>52</v>
      </c>
      <c r="D25" s="41" t="s">
        <v>96</v>
      </c>
      <c r="E25" s="24">
        <v>3</v>
      </c>
      <c r="F25" s="25" t="s">
        <v>53</v>
      </c>
      <c r="G25" s="26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23" x14ac:dyDescent="0.35">
      <c r="B26" s="41" t="s">
        <v>57</v>
      </c>
      <c r="C26" s="10" t="s">
        <v>52</v>
      </c>
      <c r="D26" s="41" t="s">
        <v>101</v>
      </c>
      <c r="E26" s="24">
        <v>1</v>
      </c>
      <c r="F26" s="25" t="s">
        <v>53</v>
      </c>
      <c r="G26" s="26">
        <v>2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23" x14ac:dyDescent="0.35">
      <c r="B27" s="41" t="s">
        <v>101</v>
      </c>
      <c r="C27" s="10" t="s">
        <v>52</v>
      </c>
      <c r="D27" s="41" t="s">
        <v>96</v>
      </c>
      <c r="E27" s="24">
        <v>3</v>
      </c>
      <c r="F27" s="25" t="s">
        <v>53</v>
      </c>
      <c r="G27" s="26">
        <v>1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23" x14ac:dyDescent="0.35">
      <c r="B28" s="41" t="s">
        <v>55</v>
      </c>
      <c r="C28" s="10" t="s">
        <v>52</v>
      </c>
      <c r="D28" s="41" t="s">
        <v>57</v>
      </c>
      <c r="E28" s="24">
        <v>2</v>
      </c>
      <c r="F28" s="25" t="s">
        <v>53</v>
      </c>
      <c r="G28" s="26">
        <v>1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23" x14ac:dyDescent="0.35">
      <c r="B29" s="41" t="s">
        <v>101</v>
      </c>
      <c r="C29" s="10" t="s">
        <v>52</v>
      </c>
      <c r="D29" s="41" t="s">
        <v>55</v>
      </c>
      <c r="E29" s="24">
        <v>1</v>
      </c>
      <c r="F29" s="25" t="s">
        <v>53</v>
      </c>
      <c r="G29" s="26">
        <v>1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23" x14ac:dyDescent="0.35">
      <c r="B30" s="41" t="s">
        <v>96</v>
      </c>
      <c r="C30" s="10" t="s">
        <v>52</v>
      </c>
      <c r="D30" s="41" t="s">
        <v>57</v>
      </c>
      <c r="E30" s="24">
        <v>1</v>
      </c>
      <c r="F30" s="25" t="s">
        <v>53</v>
      </c>
      <c r="G30" s="26">
        <v>2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23" x14ac:dyDescent="0.35">
      <c r="B31" s="41" t="s">
        <v>98</v>
      </c>
      <c r="C31" s="10" t="s">
        <v>52</v>
      </c>
      <c r="D31" s="41" t="s">
        <v>100</v>
      </c>
      <c r="E31" s="24">
        <v>1</v>
      </c>
      <c r="F31" s="25" t="s">
        <v>53</v>
      </c>
      <c r="G31" s="26">
        <v>1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23" x14ac:dyDescent="0.35">
      <c r="B32" s="41" t="s">
        <v>63</v>
      </c>
      <c r="C32" s="10" t="s">
        <v>52</v>
      </c>
      <c r="D32" s="41" t="s">
        <v>60</v>
      </c>
      <c r="E32" s="24">
        <v>2</v>
      </c>
      <c r="F32" s="25" t="s">
        <v>53</v>
      </c>
      <c r="G32" s="26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35">
      <c r="B33" s="41" t="s">
        <v>100</v>
      </c>
      <c r="C33" s="10" t="s">
        <v>52</v>
      </c>
      <c r="D33" s="41" t="s">
        <v>60</v>
      </c>
      <c r="E33" s="24">
        <v>2</v>
      </c>
      <c r="F33" s="25" t="s">
        <v>53</v>
      </c>
      <c r="G33" s="26"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35">
      <c r="B34" s="41" t="s">
        <v>63</v>
      </c>
      <c r="C34" s="10" t="s">
        <v>52</v>
      </c>
      <c r="D34" s="41" t="s">
        <v>98</v>
      </c>
      <c r="E34" s="24">
        <v>2</v>
      </c>
      <c r="F34" s="25" t="s">
        <v>53</v>
      </c>
      <c r="G34" s="26"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35">
      <c r="B35" s="41" t="s">
        <v>60</v>
      </c>
      <c r="C35" s="10" t="s">
        <v>52</v>
      </c>
      <c r="D35" s="41" t="s">
        <v>98</v>
      </c>
      <c r="E35" s="24">
        <v>2</v>
      </c>
      <c r="F35" s="25" t="s">
        <v>53</v>
      </c>
      <c r="G35" s="26">
        <v>4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35">
      <c r="B36" s="41" t="s">
        <v>100</v>
      </c>
      <c r="C36" s="10" t="s">
        <v>52</v>
      </c>
      <c r="D36" s="41" t="s">
        <v>63</v>
      </c>
      <c r="E36" s="24">
        <v>2</v>
      </c>
      <c r="F36" s="25" t="s">
        <v>53</v>
      </c>
      <c r="G36" s="26">
        <v>3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x14ac:dyDescent="0.35">
      <c r="B37" s="41" t="s">
        <v>51</v>
      </c>
      <c r="C37" s="10" t="s">
        <v>52</v>
      </c>
      <c r="D37" s="41" t="s">
        <v>61</v>
      </c>
      <c r="E37" s="24">
        <v>1</v>
      </c>
      <c r="F37" s="25" t="s">
        <v>53</v>
      </c>
      <c r="G37" s="26">
        <v>1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35">
      <c r="B38" s="41" t="s">
        <v>76</v>
      </c>
      <c r="C38" s="10" t="s">
        <v>52</v>
      </c>
      <c r="D38" s="41" t="s">
        <v>91</v>
      </c>
      <c r="E38" s="24">
        <v>1</v>
      </c>
      <c r="F38" s="25" t="s">
        <v>53</v>
      </c>
      <c r="G38" s="26"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 x14ac:dyDescent="0.35">
      <c r="B39" s="41" t="s">
        <v>61</v>
      </c>
      <c r="C39" s="10" t="s">
        <v>52</v>
      </c>
      <c r="D39" s="41" t="s">
        <v>91</v>
      </c>
      <c r="E39" s="24">
        <v>2</v>
      </c>
      <c r="F39" s="25" t="s">
        <v>53</v>
      </c>
      <c r="G39" s="26">
        <v>1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2:17" x14ac:dyDescent="0.35">
      <c r="B40" s="41" t="s">
        <v>76</v>
      </c>
      <c r="C40" s="10" t="s">
        <v>52</v>
      </c>
      <c r="D40" s="41" t="s">
        <v>51</v>
      </c>
      <c r="E40" s="24">
        <v>1</v>
      </c>
      <c r="F40" s="25" t="s">
        <v>53</v>
      </c>
      <c r="G40" s="26">
        <v>3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2:17" x14ac:dyDescent="0.35">
      <c r="B41" s="41" t="s">
        <v>61</v>
      </c>
      <c r="C41" s="10" t="s">
        <v>52</v>
      </c>
      <c r="D41" s="41" t="s">
        <v>76</v>
      </c>
      <c r="E41" s="24">
        <v>1</v>
      </c>
      <c r="F41" s="25" t="s">
        <v>53</v>
      </c>
      <c r="G41" s="26">
        <v>1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2:17" x14ac:dyDescent="0.35">
      <c r="B42" s="41" t="s">
        <v>91</v>
      </c>
      <c r="C42" s="10" t="s">
        <v>52</v>
      </c>
      <c r="D42" s="41" t="s">
        <v>51</v>
      </c>
      <c r="E42" s="24">
        <v>0</v>
      </c>
      <c r="F42" s="25" t="s">
        <v>53</v>
      </c>
      <c r="G42" s="26">
        <v>3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2:17" x14ac:dyDescent="0.35">
      <c r="B43" s="41" t="s">
        <v>97</v>
      </c>
      <c r="C43" s="10" t="s">
        <v>52</v>
      </c>
      <c r="D43" s="41" t="s">
        <v>90</v>
      </c>
      <c r="E43" s="24">
        <v>2</v>
      </c>
      <c r="F43" s="25" t="s">
        <v>53</v>
      </c>
      <c r="G43" s="26">
        <v>2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2:17" x14ac:dyDescent="0.35">
      <c r="B44" s="41" t="s">
        <v>94</v>
      </c>
      <c r="C44" s="10" t="s">
        <v>52</v>
      </c>
      <c r="D44" s="41" t="s">
        <v>107</v>
      </c>
      <c r="E44" s="24">
        <v>2</v>
      </c>
      <c r="F44" s="25" t="s">
        <v>53</v>
      </c>
      <c r="G44" s="26"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2:17" x14ac:dyDescent="0.35">
      <c r="B45" s="41" t="s">
        <v>94</v>
      </c>
      <c r="C45" s="10" t="s">
        <v>52</v>
      </c>
      <c r="D45" s="41" t="s">
        <v>97</v>
      </c>
      <c r="E45" s="24">
        <v>3</v>
      </c>
      <c r="F45" s="25" t="s">
        <v>53</v>
      </c>
      <c r="G45" s="26">
        <v>1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2:17" x14ac:dyDescent="0.35">
      <c r="B46" s="41" t="s">
        <v>90</v>
      </c>
      <c r="C46" s="10" t="s">
        <v>52</v>
      </c>
      <c r="D46" s="41" t="s">
        <v>107</v>
      </c>
      <c r="E46" s="24">
        <v>2</v>
      </c>
      <c r="F46" s="25" t="s">
        <v>53</v>
      </c>
      <c r="G46" s="26">
        <v>3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x14ac:dyDescent="0.35">
      <c r="B47" s="41" t="s">
        <v>90</v>
      </c>
      <c r="C47" s="10" t="s">
        <v>52</v>
      </c>
      <c r="D47" s="41" t="s">
        <v>94</v>
      </c>
      <c r="E47" s="24">
        <v>1</v>
      </c>
      <c r="F47" s="25" t="s">
        <v>53</v>
      </c>
      <c r="G47" s="26">
        <v>2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2:17" x14ac:dyDescent="0.35">
      <c r="B48" s="41" t="s">
        <v>107</v>
      </c>
      <c r="C48" s="10" t="s">
        <v>52</v>
      </c>
      <c r="D48" s="41" t="s">
        <v>97</v>
      </c>
      <c r="E48" s="24">
        <v>4</v>
      </c>
      <c r="F48" s="25" t="s">
        <v>53</v>
      </c>
      <c r="G48" s="26">
        <v>1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2:17" x14ac:dyDescent="0.35">
      <c r="B49" s="41" t="s">
        <v>64</v>
      </c>
      <c r="C49" s="10" t="s">
        <v>52</v>
      </c>
      <c r="D49" s="41" t="s">
        <v>82</v>
      </c>
      <c r="E49" s="24">
        <v>3</v>
      </c>
      <c r="F49" s="25" t="s">
        <v>53</v>
      </c>
      <c r="G49" s="26">
        <v>2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2:17" x14ac:dyDescent="0.35">
      <c r="B50" s="41" t="s">
        <v>62</v>
      </c>
      <c r="C50" s="10" t="s">
        <v>52</v>
      </c>
      <c r="D50" s="41" t="s">
        <v>99</v>
      </c>
      <c r="E50" s="24">
        <v>2</v>
      </c>
      <c r="F50" s="25" t="s">
        <v>53</v>
      </c>
      <c r="G50" s="26">
        <v>1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2:17" x14ac:dyDescent="0.35">
      <c r="B51" s="41" t="s">
        <v>82</v>
      </c>
      <c r="C51" s="10" t="s">
        <v>52</v>
      </c>
      <c r="D51" s="41" t="s">
        <v>99</v>
      </c>
      <c r="E51" s="24">
        <v>0</v>
      </c>
      <c r="F51" s="25" t="s">
        <v>53</v>
      </c>
      <c r="G51" s="26">
        <v>3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x14ac:dyDescent="0.35">
      <c r="B52" s="41" t="s">
        <v>62</v>
      </c>
      <c r="C52" s="10" t="s">
        <v>52</v>
      </c>
      <c r="D52" s="41" t="s">
        <v>64</v>
      </c>
      <c r="E52" s="24">
        <v>2</v>
      </c>
      <c r="F52" s="25" t="s">
        <v>53</v>
      </c>
      <c r="G52" s="26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2:17" x14ac:dyDescent="0.35">
      <c r="B53" s="41" t="s">
        <v>99</v>
      </c>
      <c r="C53" s="10" t="s">
        <v>52</v>
      </c>
      <c r="D53" s="41" t="s">
        <v>64</v>
      </c>
      <c r="E53" s="24">
        <v>2</v>
      </c>
      <c r="F53" s="25" t="s">
        <v>53</v>
      </c>
      <c r="G53" s="26">
        <v>1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2:17" x14ac:dyDescent="0.35">
      <c r="B54" s="41" t="s">
        <v>82</v>
      </c>
      <c r="C54" s="10" t="s">
        <v>52</v>
      </c>
      <c r="D54" s="41" t="s">
        <v>62</v>
      </c>
      <c r="E54" s="24">
        <v>0</v>
      </c>
      <c r="F54" s="25" t="s">
        <v>53</v>
      </c>
      <c r="G54" s="26">
        <v>4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2:17" x14ac:dyDescent="0.35">
      <c r="B55" s="41" t="s">
        <v>81</v>
      </c>
      <c r="C55" s="10" t="s">
        <v>52</v>
      </c>
      <c r="D55" s="41" t="s">
        <v>108</v>
      </c>
      <c r="E55" s="24">
        <v>1</v>
      </c>
      <c r="F55" s="25" t="s">
        <v>53</v>
      </c>
      <c r="G55" s="26">
        <v>1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2:17" x14ac:dyDescent="0.35">
      <c r="B56" s="41" t="s">
        <v>58</v>
      </c>
      <c r="C56" s="10" t="s">
        <v>52</v>
      </c>
      <c r="D56" s="41" t="s">
        <v>109</v>
      </c>
      <c r="E56" s="24">
        <v>2</v>
      </c>
      <c r="F56" s="25" t="s">
        <v>53</v>
      </c>
      <c r="G56" s="26"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x14ac:dyDescent="0.35">
      <c r="B57" s="41" t="s">
        <v>108</v>
      </c>
      <c r="C57" s="10" t="s">
        <v>52</v>
      </c>
      <c r="D57" s="41" t="s">
        <v>109</v>
      </c>
      <c r="E57" s="24">
        <v>0</v>
      </c>
      <c r="F57" s="25" t="s">
        <v>53</v>
      </c>
      <c r="G57" s="26"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2:17" x14ac:dyDescent="0.35">
      <c r="B58" s="41" t="s">
        <v>58</v>
      </c>
      <c r="C58" s="10" t="s">
        <v>52</v>
      </c>
      <c r="D58" s="41" t="s">
        <v>81</v>
      </c>
      <c r="E58" s="24">
        <v>2</v>
      </c>
      <c r="F58" s="25" t="s">
        <v>53</v>
      </c>
      <c r="G58" s="26">
        <v>3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2:17" x14ac:dyDescent="0.35">
      <c r="B59" s="41" t="s">
        <v>109</v>
      </c>
      <c r="C59" s="10" t="s">
        <v>52</v>
      </c>
      <c r="D59" s="41" t="s">
        <v>81</v>
      </c>
      <c r="E59" s="24">
        <v>1</v>
      </c>
      <c r="F59" s="25" t="s">
        <v>53</v>
      </c>
      <c r="G59" s="26">
        <v>1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2:17" x14ac:dyDescent="0.35">
      <c r="B60" s="41" t="s">
        <v>108</v>
      </c>
      <c r="C60" s="10" t="s">
        <v>52</v>
      </c>
      <c r="D60" s="41" t="s">
        <v>58</v>
      </c>
      <c r="E60" s="27">
        <v>0</v>
      </c>
      <c r="F60" s="28" t="s">
        <v>53</v>
      </c>
      <c r="G60" s="29">
        <v>4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x14ac:dyDescent="0.35">
      <c r="B61" s="2"/>
      <c r="C61" s="2"/>
      <c r="D61" s="2"/>
      <c r="E61" s="2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2:17" x14ac:dyDescent="0.35">
      <c r="B62" s="2"/>
      <c r="C62" s="2"/>
      <c r="D62" s="2"/>
      <c r="E62" s="2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2:17" ht="17.5" x14ac:dyDescent="0.35">
      <c r="B63" s="42" t="s">
        <v>85</v>
      </c>
      <c r="C63" s="18"/>
      <c r="D63" s="2"/>
      <c r="E63" s="2"/>
      <c r="F63" s="8"/>
      <c r="G63" s="2"/>
      <c r="H63" s="2"/>
      <c r="J63" s="2"/>
      <c r="K63" s="2"/>
      <c r="L63" s="2"/>
      <c r="M63" s="2"/>
      <c r="N63" s="2"/>
      <c r="O63" s="2"/>
      <c r="P63" s="2"/>
      <c r="Q63" s="2"/>
    </row>
    <row r="64" spans="2:17" x14ac:dyDescent="0.35">
      <c r="B64" s="2"/>
      <c r="C64" s="2"/>
      <c r="D64" s="2"/>
      <c r="E64" s="2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35">
      <c r="A65" s="15">
        <v>1</v>
      </c>
      <c r="B65" s="13" t="s">
        <v>116</v>
      </c>
      <c r="C65" s="2"/>
      <c r="D65" s="2"/>
      <c r="E65" s="2"/>
      <c r="F65" s="8"/>
      <c r="G65" s="2"/>
      <c r="H65" s="2"/>
      <c r="I65" s="2"/>
      <c r="J65" s="2"/>
      <c r="K65" s="8"/>
      <c r="L65" s="20"/>
      <c r="M65" s="20"/>
      <c r="N65" s="20"/>
      <c r="O65" s="20"/>
      <c r="P65" s="20"/>
      <c r="Q65" s="2"/>
    </row>
    <row r="66" spans="1:17" x14ac:dyDescent="0.35">
      <c r="A66" s="15">
        <f>A65+1</f>
        <v>2</v>
      </c>
      <c r="B66" s="13" t="s">
        <v>59</v>
      </c>
      <c r="C66" s="2"/>
      <c r="D66" s="2"/>
      <c r="E66" s="2"/>
      <c r="F66" s="8"/>
      <c r="G66" s="2"/>
      <c r="H66" s="2"/>
      <c r="I66" s="2"/>
      <c r="J66" s="2"/>
      <c r="K66" s="8"/>
      <c r="L66" s="2"/>
      <c r="M66" s="2"/>
      <c r="N66" s="2"/>
      <c r="O66" s="2"/>
      <c r="P66" s="2"/>
      <c r="Q66" s="2"/>
    </row>
    <row r="67" spans="1:17" x14ac:dyDescent="0.35">
      <c r="A67" s="15">
        <f t="shared" ref="A67:A80" si="0">A66+1</f>
        <v>3</v>
      </c>
      <c r="B67" s="13" t="s">
        <v>123</v>
      </c>
      <c r="C67" s="2"/>
      <c r="D67" s="2"/>
      <c r="E67" s="2"/>
      <c r="F67" s="8"/>
      <c r="G67" s="2"/>
      <c r="H67" s="2"/>
      <c r="I67" s="2"/>
      <c r="J67" s="2"/>
      <c r="K67" s="8"/>
      <c r="L67" s="20"/>
      <c r="M67" s="20"/>
      <c r="N67" s="20"/>
      <c r="O67" s="20"/>
      <c r="P67" s="20"/>
      <c r="Q67" s="2"/>
    </row>
    <row r="68" spans="1:17" x14ac:dyDescent="0.35">
      <c r="A68" s="15">
        <f t="shared" si="0"/>
        <v>4</v>
      </c>
      <c r="B68" s="13" t="s">
        <v>128</v>
      </c>
      <c r="C68" s="2"/>
      <c r="D68" s="2"/>
      <c r="E68" s="2"/>
      <c r="F68" s="8"/>
      <c r="G68" s="2"/>
      <c r="H68" s="2"/>
      <c r="I68" s="2"/>
      <c r="J68" s="2"/>
      <c r="K68" s="8"/>
      <c r="L68" s="2"/>
      <c r="M68" s="2"/>
      <c r="N68" s="2"/>
      <c r="O68" s="2"/>
      <c r="P68" s="2"/>
      <c r="Q68" s="2"/>
    </row>
    <row r="69" spans="1:17" x14ac:dyDescent="0.35">
      <c r="A69" s="15">
        <f t="shared" si="0"/>
        <v>5</v>
      </c>
      <c r="B69" s="13" t="s">
        <v>120</v>
      </c>
      <c r="C69" s="2"/>
      <c r="D69" s="2"/>
      <c r="E69" s="2"/>
      <c r="F69" s="8"/>
      <c r="G69" s="2"/>
      <c r="H69" s="2"/>
      <c r="I69" s="2"/>
      <c r="J69" s="2"/>
      <c r="K69" s="8"/>
      <c r="L69" s="20"/>
      <c r="M69" s="20"/>
      <c r="N69" s="20"/>
      <c r="O69" s="20"/>
      <c r="P69" s="20"/>
      <c r="Q69" s="2"/>
    </row>
    <row r="70" spans="1:17" x14ac:dyDescent="0.35">
      <c r="A70" s="15">
        <f t="shared" si="0"/>
        <v>6</v>
      </c>
      <c r="B70" s="13" t="s">
        <v>117</v>
      </c>
      <c r="C70" s="2"/>
      <c r="D70" s="2"/>
      <c r="E70" s="2"/>
      <c r="F70" s="8"/>
      <c r="G70" s="2"/>
      <c r="H70" s="2"/>
      <c r="I70" s="2"/>
      <c r="J70" s="2"/>
      <c r="K70" s="8"/>
      <c r="L70" s="2"/>
      <c r="M70" s="2"/>
      <c r="N70" s="2"/>
      <c r="O70" s="2"/>
      <c r="P70" s="2"/>
      <c r="Q70" s="2"/>
    </row>
    <row r="71" spans="1:17" x14ac:dyDescent="0.35">
      <c r="A71" s="15">
        <f t="shared" si="0"/>
        <v>7</v>
      </c>
      <c r="B71" s="13" t="s">
        <v>127</v>
      </c>
      <c r="C71" s="2"/>
      <c r="D71" s="2"/>
      <c r="E71" s="2"/>
      <c r="F71" s="8"/>
      <c r="G71" s="2"/>
      <c r="H71" s="2"/>
      <c r="I71" s="2"/>
      <c r="J71" s="2"/>
      <c r="K71" s="8"/>
      <c r="L71" s="20"/>
      <c r="M71" s="20"/>
      <c r="N71" s="20"/>
      <c r="O71" s="20"/>
      <c r="P71" s="20"/>
      <c r="Q71" s="2"/>
    </row>
    <row r="72" spans="1:17" x14ac:dyDescent="0.35">
      <c r="A72" s="15">
        <f t="shared" si="0"/>
        <v>8</v>
      </c>
      <c r="B72" s="13" t="s">
        <v>124</v>
      </c>
      <c r="C72" s="2"/>
      <c r="D72" s="2"/>
      <c r="E72" s="2"/>
      <c r="F72" s="8"/>
      <c r="G72" s="2"/>
      <c r="H72" s="2"/>
      <c r="I72" s="2"/>
      <c r="J72" s="2"/>
      <c r="K72" s="8"/>
      <c r="L72" s="2"/>
      <c r="M72" s="2"/>
      <c r="N72" s="2"/>
      <c r="O72" s="2"/>
      <c r="P72" s="2"/>
      <c r="Q72" s="2"/>
    </row>
    <row r="73" spans="1:17" x14ac:dyDescent="0.35">
      <c r="A73" s="15">
        <f t="shared" si="0"/>
        <v>9</v>
      </c>
      <c r="B73" s="13" t="s">
        <v>131</v>
      </c>
      <c r="C73" s="2"/>
      <c r="D73" s="2"/>
      <c r="E73" s="2"/>
      <c r="F73" s="8"/>
      <c r="G73" s="2"/>
      <c r="H73" s="2"/>
      <c r="I73" s="2"/>
      <c r="J73" s="2"/>
      <c r="K73" s="8"/>
      <c r="L73" s="20"/>
      <c r="M73" s="20"/>
      <c r="N73" s="20"/>
      <c r="O73" s="20"/>
      <c r="P73" s="20"/>
      <c r="Q73" s="2"/>
    </row>
    <row r="74" spans="1:17" x14ac:dyDescent="0.35">
      <c r="A74" s="15">
        <f t="shared" si="0"/>
        <v>10</v>
      </c>
      <c r="B74" s="13" t="s">
        <v>136</v>
      </c>
      <c r="C74" s="2"/>
      <c r="D74" s="2"/>
      <c r="E74" s="2"/>
      <c r="F74" s="8"/>
      <c r="G74" s="2"/>
      <c r="H74" s="2"/>
      <c r="I74" s="2"/>
      <c r="J74" s="2"/>
      <c r="K74" s="8"/>
      <c r="L74" s="2"/>
      <c r="M74" s="2"/>
      <c r="N74" s="2"/>
      <c r="O74" s="2"/>
      <c r="P74" s="2"/>
      <c r="Q74" s="2"/>
    </row>
    <row r="75" spans="1:17" x14ac:dyDescent="0.35">
      <c r="A75" s="15">
        <f t="shared" si="0"/>
        <v>11</v>
      </c>
      <c r="B75" s="13" t="s">
        <v>139</v>
      </c>
      <c r="C75" s="2"/>
      <c r="D75" s="2"/>
      <c r="E75" s="2"/>
      <c r="F75" s="8"/>
      <c r="G75" s="2"/>
      <c r="H75" s="2"/>
      <c r="I75" s="2"/>
      <c r="J75" s="2"/>
      <c r="K75" s="8"/>
      <c r="L75" s="2"/>
      <c r="M75" s="2"/>
      <c r="N75" s="2"/>
      <c r="O75" s="2"/>
      <c r="P75" s="2"/>
      <c r="Q75" s="2"/>
    </row>
    <row r="76" spans="1:17" x14ac:dyDescent="0.35">
      <c r="A76" s="15">
        <f t="shared" si="0"/>
        <v>12</v>
      </c>
      <c r="B76" s="13" t="s">
        <v>144</v>
      </c>
      <c r="C76" s="2"/>
      <c r="D76" s="2"/>
      <c r="E76" s="2"/>
      <c r="F76" s="8"/>
      <c r="G76" s="2"/>
      <c r="H76" s="2"/>
      <c r="I76" s="2"/>
      <c r="J76" s="2"/>
      <c r="K76" s="8"/>
      <c r="L76" s="2"/>
      <c r="M76" s="2"/>
      <c r="N76" s="2"/>
      <c r="O76" s="2"/>
      <c r="P76" s="2"/>
      <c r="Q76" s="2"/>
    </row>
    <row r="77" spans="1:17" x14ac:dyDescent="0.35">
      <c r="A77" s="15">
        <f t="shared" si="0"/>
        <v>13</v>
      </c>
      <c r="B77" s="13" t="s">
        <v>135</v>
      </c>
      <c r="C77" s="2"/>
      <c r="D77" s="2"/>
      <c r="E77" s="2"/>
      <c r="F77" s="8"/>
      <c r="G77" s="2"/>
      <c r="H77" s="2"/>
      <c r="I77" s="2"/>
      <c r="J77" s="2"/>
      <c r="K77" s="8"/>
      <c r="L77" s="2"/>
      <c r="M77" s="2"/>
      <c r="N77" s="2"/>
      <c r="O77" s="2"/>
      <c r="P77" s="2"/>
      <c r="Q77" s="2"/>
    </row>
    <row r="78" spans="1:17" x14ac:dyDescent="0.35">
      <c r="A78" s="15">
        <f t="shared" si="0"/>
        <v>14</v>
      </c>
      <c r="B78" s="13" t="s">
        <v>132</v>
      </c>
      <c r="C78" s="2"/>
      <c r="D78" s="2"/>
      <c r="E78" s="2"/>
      <c r="F78" s="8"/>
      <c r="G78" s="2"/>
      <c r="H78" s="2"/>
      <c r="I78" s="2"/>
      <c r="J78" s="2"/>
      <c r="K78" s="8"/>
      <c r="L78" s="2"/>
      <c r="M78" s="2"/>
      <c r="N78" s="2"/>
      <c r="O78" s="2"/>
      <c r="P78" s="2"/>
      <c r="Q78" s="2"/>
    </row>
    <row r="79" spans="1:17" x14ac:dyDescent="0.35">
      <c r="A79" s="15">
        <f t="shared" si="0"/>
        <v>15</v>
      </c>
      <c r="B79" s="13" t="s">
        <v>143</v>
      </c>
      <c r="C79" s="2"/>
      <c r="D79" s="2"/>
      <c r="E79" s="2"/>
      <c r="F79" s="8"/>
      <c r="G79" s="2"/>
      <c r="H79" s="2"/>
      <c r="I79" s="2"/>
      <c r="J79" s="2"/>
      <c r="K79" s="8"/>
      <c r="L79" s="2"/>
      <c r="M79" s="2"/>
      <c r="N79" s="2"/>
      <c r="O79" s="2"/>
      <c r="P79" s="2"/>
      <c r="Q79" s="2"/>
    </row>
    <row r="80" spans="1:17" x14ac:dyDescent="0.35">
      <c r="A80" s="15">
        <f t="shared" si="0"/>
        <v>16</v>
      </c>
      <c r="B80" s="13" t="s">
        <v>140</v>
      </c>
      <c r="C80" s="53"/>
      <c r="D80" s="53"/>
      <c r="E80" s="20"/>
      <c r="F80" s="2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24" x14ac:dyDescent="0.35">
      <c r="B81" s="2"/>
      <c r="C81" s="2"/>
      <c r="D81" s="2"/>
      <c r="E81" s="2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24" x14ac:dyDescent="0.35">
      <c r="B82" s="2"/>
      <c r="C82" s="2"/>
      <c r="D82" s="2"/>
      <c r="E82" s="2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24" ht="17.5" x14ac:dyDescent="0.35">
      <c r="B83" s="42" t="s">
        <v>86</v>
      </c>
      <c r="C83" s="18"/>
      <c r="D83" s="18"/>
      <c r="E83" s="18"/>
      <c r="F83" s="19"/>
      <c r="G83" s="18"/>
      <c r="H83" s="18"/>
      <c r="I83" s="2"/>
      <c r="J83" s="2"/>
      <c r="K83" s="2"/>
      <c r="L83" s="2"/>
      <c r="M83" s="2"/>
      <c r="N83" s="2"/>
      <c r="O83" s="2"/>
      <c r="P83" s="2"/>
      <c r="Q83" s="2"/>
      <c r="X83" s="2"/>
    </row>
    <row r="84" spans="1:24" x14ac:dyDescent="0.35">
      <c r="B84" s="2"/>
      <c r="C84" s="2"/>
      <c r="D84" s="2"/>
      <c r="E84" s="2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24" x14ac:dyDescent="0.35">
      <c r="A85" s="15">
        <v>1</v>
      </c>
      <c r="B85" s="13" t="s">
        <v>59</v>
      </c>
      <c r="C85" s="2"/>
      <c r="D85" s="2"/>
      <c r="E85" s="2"/>
      <c r="F85" s="8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"/>
    </row>
    <row r="86" spans="1:24" x14ac:dyDescent="0.35">
      <c r="A86" s="15">
        <f>A85+1</f>
        <v>2</v>
      </c>
      <c r="B86" s="13" t="s">
        <v>123</v>
      </c>
      <c r="C86" s="2"/>
      <c r="D86" s="2"/>
      <c r="E86" s="2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24" x14ac:dyDescent="0.35">
      <c r="A87" s="15">
        <f t="shared" ref="A87:A92" si="1">A86+1</f>
        <v>3</v>
      </c>
      <c r="B87" s="13" t="s">
        <v>136</v>
      </c>
      <c r="C87" s="2"/>
      <c r="D87" s="2"/>
      <c r="E87" s="2"/>
      <c r="F87" s="8"/>
      <c r="G87" s="20"/>
      <c r="H87" s="20"/>
      <c r="I87" s="20"/>
      <c r="J87" s="20"/>
      <c r="K87" s="17"/>
      <c r="L87" s="20"/>
      <c r="M87" s="20"/>
      <c r="N87" s="20"/>
      <c r="O87" s="20"/>
      <c r="P87" s="20"/>
      <c r="Q87" s="2"/>
    </row>
    <row r="88" spans="1:24" x14ac:dyDescent="0.35">
      <c r="A88" s="15">
        <f t="shared" si="1"/>
        <v>4</v>
      </c>
      <c r="B88" s="13" t="s">
        <v>139</v>
      </c>
      <c r="C88" s="2"/>
      <c r="D88" s="2"/>
      <c r="E88" s="2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24" x14ac:dyDescent="0.35">
      <c r="A89" s="15">
        <f t="shared" si="1"/>
        <v>5</v>
      </c>
      <c r="B89" s="13" t="s">
        <v>120</v>
      </c>
      <c r="C89" s="2"/>
      <c r="D89" s="2"/>
      <c r="E89" s="2"/>
      <c r="F89" s="8"/>
      <c r="G89" s="20"/>
      <c r="H89" s="20"/>
      <c r="I89" s="20"/>
      <c r="J89" s="20"/>
      <c r="K89" s="20"/>
      <c r="L89" s="2"/>
      <c r="M89" s="2"/>
      <c r="N89" s="2"/>
      <c r="O89" s="2"/>
      <c r="P89" s="2"/>
      <c r="Q89" s="2"/>
    </row>
    <row r="90" spans="1:24" x14ac:dyDescent="0.35">
      <c r="A90" s="15">
        <f t="shared" si="1"/>
        <v>6</v>
      </c>
      <c r="B90" s="13" t="s">
        <v>127</v>
      </c>
      <c r="C90" s="2"/>
      <c r="D90" s="2"/>
      <c r="E90" s="2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24" x14ac:dyDescent="0.35">
      <c r="A91" s="15">
        <f t="shared" si="1"/>
        <v>7</v>
      </c>
      <c r="B91" s="13" t="s">
        <v>135</v>
      </c>
      <c r="C91" s="2"/>
      <c r="D91" s="2"/>
      <c r="E91" s="2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24" x14ac:dyDescent="0.35">
      <c r="A92" s="15">
        <f t="shared" si="1"/>
        <v>8</v>
      </c>
      <c r="B92" s="13" t="s">
        <v>143</v>
      </c>
      <c r="C92" s="2"/>
      <c r="D92" s="2"/>
      <c r="E92" s="2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24" x14ac:dyDescent="0.35">
      <c r="B93" s="20"/>
      <c r="C93" s="2"/>
      <c r="D93" s="2"/>
      <c r="E93" s="2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24" x14ac:dyDescent="0.35">
      <c r="B94" s="11"/>
      <c r="C94" s="11"/>
      <c r="D94" s="11"/>
      <c r="E94" s="11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24" ht="17.5" x14ac:dyDescent="0.35">
      <c r="B95" s="42" t="s">
        <v>87</v>
      </c>
      <c r="C95" s="18"/>
      <c r="D95" s="18"/>
      <c r="E95" s="18"/>
      <c r="F95" s="19"/>
      <c r="G95" s="18"/>
      <c r="H95" s="18"/>
      <c r="I95" s="2"/>
      <c r="J95" s="2"/>
      <c r="K95" s="2"/>
      <c r="L95" s="2"/>
      <c r="M95" s="2"/>
      <c r="N95" s="2"/>
      <c r="O95" s="2"/>
      <c r="P95" s="2"/>
      <c r="Q95" s="2"/>
    </row>
    <row r="96" spans="1:24" x14ac:dyDescent="0.35">
      <c r="B96" s="2"/>
      <c r="C96" s="2"/>
      <c r="D96" s="2"/>
      <c r="E96" s="2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35">
      <c r="A97" s="15">
        <v>1</v>
      </c>
      <c r="B97" s="13" t="s">
        <v>123</v>
      </c>
      <c r="C97" s="2"/>
      <c r="D97" s="2"/>
      <c r="E97" s="2"/>
      <c r="F97" s="8"/>
      <c r="G97" s="2"/>
      <c r="H97" s="2"/>
      <c r="I97" s="2"/>
      <c r="J97" s="8"/>
      <c r="K97" s="2"/>
      <c r="L97" s="53"/>
      <c r="M97" s="53"/>
      <c r="N97" s="53"/>
      <c r="O97" s="53"/>
      <c r="P97" s="53"/>
      <c r="Q97" s="2"/>
    </row>
    <row r="98" spans="1:17" x14ac:dyDescent="0.35">
      <c r="A98" s="15">
        <f>A97+1</f>
        <v>2</v>
      </c>
      <c r="B98" s="13" t="s">
        <v>139</v>
      </c>
      <c r="C98" s="2"/>
      <c r="D98" s="2"/>
      <c r="E98" s="2"/>
      <c r="F98" s="8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</row>
    <row r="99" spans="1:17" x14ac:dyDescent="0.35">
      <c r="A99" s="15">
        <f>A98+1</f>
        <v>3</v>
      </c>
      <c r="B99" s="13" t="s">
        <v>120</v>
      </c>
      <c r="C99" s="2"/>
      <c r="D99" s="2"/>
      <c r="E99" s="2"/>
      <c r="F99" s="8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</row>
    <row r="100" spans="1:17" x14ac:dyDescent="0.35">
      <c r="A100" s="15">
        <f>A99+1</f>
        <v>4</v>
      </c>
      <c r="B100" s="13" t="s">
        <v>143</v>
      </c>
      <c r="C100" s="2"/>
      <c r="D100" s="2"/>
      <c r="E100" s="2"/>
      <c r="F100" s="8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</row>
    <row r="101" spans="1:17" x14ac:dyDescent="0.35">
      <c r="B101" s="20"/>
      <c r="C101" s="2"/>
      <c r="D101" s="2"/>
      <c r="E101" s="2"/>
      <c r="F101" s="8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</row>
    <row r="102" spans="1:17" x14ac:dyDescent="0.35">
      <c r="B102" s="2"/>
      <c r="C102" s="2"/>
      <c r="D102" s="2"/>
      <c r="E102" s="2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7.5" x14ac:dyDescent="0.35">
      <c r="B103" s="42" t="s">
        <v>104</v>
      </c>
      <c r="C103" s="18"/>
      <c r="D103" s="18"/>
      <c r="E103" s="18"/>
      <c r="F103" s="19"/>
      <c r="G103" s="18"/>
      <c r="H103" s="18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35">
      <c r="B104" s="2"/>
      <c r="C104" s="2"/>
      <c r="D104" s="2"/>
      <c r="E104" s="2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35">
      <c r="A105" s="15">
        <v>1</v>
      </c>
      <c r="B105" s="13" t="s">
        <v>123</v>
      </c>
      <c r="C105" s="2"/>
      <c r="D105" s="2"/>
      <c r="E105" s="2"/>
      <c r="F105" s="2"/>
      <c r="G105" s="8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35">
      <c r="A106" s="15">
        <v>2</v>
      </c>
      <c r="B106" s="13" t="s">
        <v>120</v>
      </c>
      <c r="C106" s="2"/>
      <c r="D106" s="2"/>
      <c r="E106" s="2"/>
      <c r="F106" s="2"/>
      <c r="G106" s="8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35">
      <c r="B107" s="20"/>
      <c r="C107" s="2"/>
      <c r="D107" s="2"/>
      <c r="E107" s="2"/>
      <c r="F107" s="2"/>
      <c r="G107" s="8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35">
      <c r="B108" s="2"/>
      <c r="C108" s="2"/>
      <c r="D108" s="2"/>
      <c r="E108" s="2"/>
      <c r="F108" s="2"/>
      <c r="G108" s="8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7.5" x14ac:dyDescent="0.35">
      <c r="B109" s="42" t="s">
        <v>88</v>
      </c>
      <c r="C109" s="18"/>
      <c r="D109" s="18"/>
      <c r="E109" s="18"/>
      <c r="F109" s="19"/>
      <c r="G109" s="18"/>
      <c r="H109" s="18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35">
      <c r="B110" s="2"/>
      <c r="C110" s="2"/>
      <c r="D110" s="2"/>
      <c r="E110" s="2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35">
      <c r="A111" s="15">
        <v>1</v>
      </c>
      <c r="B111" s="13" t="s">
        <v>123</v>
      </c>
      <c r="C111" s="2"/>
      <c r="D111" s="2"/>
      <c r="E111" s="2"/>
      <c r="F111" s="8"/>
      <c r="G111" s="2"/>
      <c r="H111" s="2"/>
      <c r="I111" s="2"/>
      <c r="J111" s="2"/>
      <c r="K111" s="2"/>
      <c r="L111" s="20"/>
      <c r="M111" s="20"/>
      <c r="N111" s="20"/>
      <c r="O111" s="20"/>
      <c r="P111" s="20"/>
      <c r="Q111" s="2"/>
    </row>
    <row r="112" spans="1:17" x14ac:dyDescent="0.35">
      <c r="A112" s="15">
        <v>2</v>
      </c>
      <c r="B112" s="13" t="s">
        <v>120</v>
      </c>
      <c r="C112" s="2"/>
      <c r="D112" s="2"/>
      <c r="E112" s="2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35">
      <c r="A113" s="15">
        <v>3</v>
      </c>
      <c r="B113" s="13" t="s">
        <v>139</v>
      </c>
      <c r="C113" s="2"/>
      <c r="D113" s="2"/>
      <c r="E113" s="2"/>
      <c r="F113" s="8"/>
      <c r="G113" s="2"/>
      <c r="H113" s="2"/>
      <c r="I113" s="2"/>
      <c r="J113" s="2"/>
      <c r="K113" s="2"/>
      <c r="L113" s="20"/>
      <c r="M113" s="20"/>
      <c r="N113" s="20"/>
      <c r="O113" s="20"/>
      <c r="P113" s="20"/>
      <c r="Q113" s="2"/>
    </row>
    <row r="114" spans="1:17" x14ac:dyDescent="0.35">
      <c r="A114" s="15">
        <v>4</v>
      </c>
      <c r="B114" s="13" t="s">
        <v>143</v>
      </c>
      <c r="C114" s="2"/>
      <c r="D114" s="2"/>
      <c r="E114" s="2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35">
      <c r="A115" s="15">
        <v>5</v>
      </c>
      <c r="B115" s="13" t="s">
        <v>135</v>
      </c>
      <c r="C115" s="2"/>
      <c r="D115" s="2"/>
      <c r="E115" s="2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35">
      <c r="A116" s="15">
        <v>6</v>
      </c>
      <c r="B116" s="13" t="s">
        <v>127</v>
      </c>
      <c r="C116" s="2"/>
      <c r="D116" s="2"/>
      <c r="E116" s="2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35">
      <c r="A117" s="15">
        <v>7</v>
      </c>
      <c r="B117" s="13" t="s">
        <v>59</v>
      </c>
      <c r="C117" s="2"/>
      <c r="D117" s="2"/>
      <c r="E117" s="2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35">
      <c r="A118" s="15">
        <v>8</v>
      </c>
      <c r="B118" s="13" t="s">
        <v>136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35"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35">
      <c r="B120" s="1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7.5" x14ac:dyDescent="0.35">
      <c r="B121" s="42" t="s">
        <v>89</v>
      </c>
      <c r="C121" s="2"/>
      <c r="D121" s="50" t="s">
        <v>147</v>
      </c>
      <c r="E121" s="50"/>
      <c r="F121" s="50"/>
      <c r="G121" s="50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35">
      <c r="E123" s="2"/>
      <c r="F123" s="2"/>
      <c r="G123" s="2"/>
      <c r="H123" s="2"/>
      <c r="I123" s="2"/>
      <c r="J123" s="2"/>
      <c r="K123" s="2"/>
      <c r="L123" s="2"/>
    </row>
  </sheetData>
  <mergeCells count="46">
    <mergeCell ref="D121:G121"/>
    <mergeCell ref="E12:G12"/>
    <mergeCell ref="B12:D12"/>
    <mergeCell ref="C80:D80"/>
    <mergeCell ref="J22:M22"/>
    <mergeCell ref="J14:M14"/>
    <mergeCell ref="J15:M15"/>
    <mergeCell ref="L97:P97"/>
    <mergeCell ref="N14:P14"/>
    <mergeCell ref="J21:M21"/>
    <mergeCell ref="N21:P21"/>
    <mergeCell ref="N22:P22"/>
    <mergeCell ref="J16:M16"/>
    <mergeCell ref="N16:P16"/>
    <mergeCell ref="N20:P20"/>
    <mergeCell ref="Q22:T22"/>
    <mergeCell ref="U22:W22"/>
    <mergeCell ref="J17:M17"/>
    <mergeCell ref="N17:P17"/>
    <mergeCell ref="Q17:T17"/>
    <mergeCell ref="U17:W17"/>
    <mergeCell ref="J18:M18"/>
    <mergeCell ref="N18:P18"/>
    <mergeCell ref="Q18:T18"/>
    <mergeCell ref="U18:W18"/>
    <mergeCell ref="U19:W19"/>
    <mergeCell ref="Q20:T20"/>
    <mergeCell ref="U20:W20"/>
    <mergeCell ref="Q21:T21"/>
    <mergeCell ref="U21:W21"/>
    <mergeCell ref="J20:M20"/>
    <mergeCell ref="B10:G10"/>
    <mergeCell ref="C6:L6"/>
    <mergeCell ref="N15:P15"/>
    <mergeCell ref="Q15:T15"/>
    <mergeCell ref="C2:L2"/>
    <mergeCell ref="C4:L4"/>
    <mergeCell ref="J13:W13"/>
    <mergeCell ref="Q14:T14"/>
    <mergeCell ref="U14:W14"/>
    <mergeCell ref="U15:W15"/>
    <mergeCell ref="Q16:T16"/>
    <mergeCell ref="U16:W16"/>
    <mergeCell ref="J19:M19"/>
    <mergeCell ref="N19:P19"/>
    <mergeCell ref="Q19:T19"/>
  </mergeCells>
  <hyperlinks>
    <hyperlink ref="C4" r:id="rId1" xr:uid="{CCA194B1-484C-4C75-AEA5-02E8C79226E2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 - CONDICIONES</vt:lpstr>
      <vt:lpstr>HOJA DE PRESENTACION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myvan_e9flq9j</cp:lastModifiedBy>
  <cp:lastPrinted>2022-10-19T23:24:05Z</cp:lastPrinted>
  <dcterms:created xsi:type="dcterms:W3CDTF">2010-04-22T20:20:09Z</dcterms:created>
  <dcterms:modified xsi:type="dcterms:W3CDTF">2022-11-19T21:00:25Z</dcterms:modified>
</cp:coreProperties>
</file>