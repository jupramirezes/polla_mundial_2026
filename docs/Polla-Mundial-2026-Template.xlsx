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CIONES" sheetId="1" r:id="rId1"/>
    <sheet name="JUGADOR" sheetId="2" r:id="rId2"/>
    <sheet name="FASE_DE_GRUPOS" sheetId="3" r:id="rId3"/>
    <sheet name="ELIMINATORIAS" sheetId="4" r:id="rId4"/>
    <sheet name="TOP_GOLEADOR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9"/>
  <sheetViews>
    <sheetView workbookViewId="0"/>
  </sheetViews>
  <cols>
    <col min="1" max="1" width="50.83203125" customWidth="1"/>
    <col min="2" max="2" width="10.83203125" customWidth="1"/>
    <col min="3" max="3" width="10.83203125" customWidth="1"/>
    <col min="4" max="4" width="10.83203125" customWidth="1"/>
  </cols>
  <sheetData>
    <row r="1">
      <c r="A1" t="str">
        <v>POLLA MUNDIAL 2026 — INSTRUCCIONES Y SISTEMA DE PUNTOS</v>
      </c>
    </row>
    <row r="3">
      <c r="A3" t="str">
        <v>Total a repartir: 1.000 puntos</v>
      </c>
    </row>
    <row r="5">
      <c r="A5" t="str">
        <v>Categoría</v>
      </c>
      <c r="B5" t="str">
        <v>Pts c/u</v>
      </c>
      <c r="C5" t="str">
        <v>Cant.</v>
      </c>
      <c r="D5" t="str">
        <v>Total</v>
      </c>
    </row>
    <row r="6">
      <c r="A6" t="str">
        <v>Acertar ganador del partido (1X2)</v>
      </c>
      <c r="B6">
        <v>2</v>
      </c>
      <c r="C6">
        <v>72</v>
      </c>
      <c r="D6">
        <v>144</v>
      </c>
    </row>
    <row r="7">
      <c r="A7" t="str">
        <v>Bonus marcador exacto (encima del anterior)</v>
      </c>
      <c r="B7">
        <v>3</v>
      </c>
      <c r="C7">
        <v>72</v>
      </c>
      <c r="D7">
        <v>216</v>
      </c>
    </row>
    <row r="8">
      <c r="A8" t="str">
        <v>Posición en el grupo: 1°</v>
      </c>
      <c r="B8">
        <v>4</v>
      </c>
      <c r="C8">
        <v>12</v>
      </c>
      <c r="D8">
        <v>48</v>
      </c>
    </row>
    <row r="9">
      <c r="A9" t="str">
        <v>Posición en el grupo: 2°</v>
      </c>
      <c r="B9">
        <v>3</v>
      </c>
      <c r="C9">
        <v>12</v>
      </c>
      <c r="D9">
        <v>36</v>
      </c>
    </row>
    <row r="10">
      <c r="A10" t="str">
        <v>Posición en el grupo: 3°</v>
      </c>
      <c r="B10">
        <v>2</v>
      </c>
      <c r="C10">
        <v>12</v>
      </c>
      <c r="D10">
        <v>24</v>
      </c>
    </row>
    <row r="11">
      <c r="A11" t="str">
        <v>Posición en el grupo: 4°</v>
      </c>
      <c r="B11">
        <v>1</v>
      </c>
      <c r="C11">
        <v>12</v>
      </c>
      <c r="D11">
        <v>12</v>
      </c>
    </row>
    <row r="12">
      <c r="A12" t="str">
        <v>Clasificado a dieciseisavos (R32)</v>
      </c>
      <c r="B12">
        <v>2</v>
      </c>
      <c r="C12">
        <v>32</v>
      </c>
      <c r="D12">
        <v>64</v>
      </c>
    </row>
    <row r="13">
      <c r="A13" t="str">
        <v>Clasificado a octavos</v>
      </c>
      <c r="B13">
        <v>3</v>
      </c>
      <c r="C13">
        <v>16</v>
      </c>
      <c r="D13">
        <v>48</v>
      </c>
    </row>
    <row r="14">
      <c r="A14" t="str">
        <v>Clasificado a cuartos</v>
      </c>
      <c r="B14">
        <v>6</v>
      </c>
      <c r="C14">
        <v>8</v>
      </c>
      <c r="D14">
        <v>48</v>
      </c>
    </row>
    <row r="15">
      <c r="A15" t="str">
        <v>Clasificado a semifinales</v>
      </c>
      <c r="B15">
        <v>12</v>
      </c>
      <c r="C15">
        <v>4</v>
      </c>
      <c r="D15">
        <v>48</v>
      </c>
    </row>
    <row r="16">
      <c r="A16" t="str">
        <v>Clasificado a la final</v>
      </c>
      <c r="B16">
        <v>22</v>
      </c>
      <c r="C16">
        <v>2</v>
      </c>
      <c r="D16">
        <v>44</v>
      </c>
    </row>
    <row r="17">
      <c r="A17" t="str">
        <v>Campeón</v>
      </c>
      <c r="B17">
        <v>90</v>
      </c>
      <c r="C17">
        <v>1</v>
      </c>
      <c r="D17">
        <v>90</v>
      </c>
    </row>
    <row r="18">
      <c r="A18" t="str">
        <v>Subcampeón</v>
      </c>
      <c r="B18">
        <v>60</v>
      </c>
      <c r="C18">
        <v>1</v>
      </c>
      <c r="D18">
        <v>60</v>
      </c>
    </row>
    <row r="19">
      <c r="A19" t="str">
        <v>Tercer lugar</v>
      </c>
      <c r="B19">
        <v>40</v>
      </c>
      <c r="C19">
        <v>1</v>
      </c>
      <c r="D19">
        <v>40</v>
      </c>
    </row>
    <row r="20">
      <c r="A20" t="str">
        <v>Cuarto lugar</v>
      </c>
      <c r="B20">
        <v>28</v>
      </c>
      <c r="C20">
        <v>1</v>
      </c>
      <c r="D20">
        <v>28</v>
      </c>
    </row>
    <row r="21">
      <c r="A21" t="str">
        <v>Goleador del mundial</v>
      </c>
      <c r="B21">
        <v>50</v>
      </c>
      <c r="C21">
        <v>1</v>
      </c>
      <c r="D21">
        <v>50</v>
      </c>
    </row>
    <row r="22">
      <c r="A22" t="str">
        <v>TOTAL</v>
      </c>
      <c r="B22" t="str">
        <v/>
      </c>
      <c r="C22" t="str">
        <v/>
      </c>
      <c r="D22">
        <v>1000</v>
      </c>
    </row>
    <row r="24">
      <c r="A24" t="str">
        <v>Cómo se usa este archivo:</v>
      </c>
    </row>
    <row r="25">
      <c r="A25" t="str">
        <v xml:space="preserve">  1. Llena tus datos en la hoja JUGADOR.</v>
      </c>
    </row>
    <row r="26">
      <c r="A26" t="str">
        <v xml:space="preserve">  2. En la hoja FASE_DE_GRUPOS, llena los marcadores de los 72 partidos.</v>
      </c>
    </row>
    <row r="27">
      <c r="A27" t="str">
        <v xml:space="preserve">     Las tablas de posiciones de cada grupo y la lista de clasificados a R32</v>
      </c>
    </row>
    <row r="28">
      <c r="A28" t="str">
        <v xml:space="preserve">     (top 2 por grupo) se calculan SOLAS a partir de tus marcadores.</v>
      </c>
    </row>
    <row r="29">
      <c r="A29" t="str">
        <v xml:space="preserve">  3. Para los 8 cupos extra (mejores 3ros), elige a mano cuáles consideras que</v>
      </c>
    </row>
    <row r="30">
      <c r="A30" t="str">
        <v xml:space="preserve">     pasan, ayudándote de la tabla de "Terceros candidatos" que se llena sola.</v>
      </c>
    </row>
    <row r="31">
      <c r="A31" t="str">
        <v xml:space="preserve">  4. En la hoja ELIMINATORIAS llena tus 16 a octavos, 8 a cuartos, 4 a semi y 2 a final.</v>
      </c>
    </row>
    <row r="32">
      <c r="A32" t="str">
        <v xml:space="preserve">  5. En la hoja TOP_GOLEADOR llena el top 4 final y el goleador.</v>
      </c>
    </row>
    <row r="33">
      <c r="A33" t="str">
        <v xml:space="preserve">  6. Manda el archivo al admin o súbelo en la web.</v>
      </c>
    </row>
    <row r="35">
      <c r="A35" t="str">
        <v>Notas de puntuación:</v>
      </c>
    </row>
    <row r="36">
      <c r="A36" t="str">
        <v>• Predecir 2-1 cuando termina 2-1 → 5 pts (2 ganador + 3 marcador exacto)</v>
      </c>
    </row>
    <row r="37">
      <c r="A37" t="str">
        <v>• Predecir 2-1 cuando termina 3-0 → 2 pts (acierta ganador, no marcador)</v>
      </c>
    </row>
    <row r="38">
      <c r="A38" t="str">
        <v>• Las posiciones de grupo y los clasificados se evalúan independientemente.</v>
      </c>
    </row>
    <row r="39">
      <c r="A39" t="str">
        <v>• Si hay empate de goleadores, todos los que predijeron a CUALQUIERA ganan los 50.</v>
      </c>
    </row>
    <row r="41">
      <c r="A41" t="str">
        <v>Fechas límite de pronósticos:</v>
      </c>
    </row>
    <row r="42">
      <c r="A42" t="str">
        <v>group</v>
      </c>
      <c r="B42" t="str">
        <v>2026-06-11T16:00:00-05:00</v>
      </c>
    </row>
    <row r="43">
      <c r="A43" t="str">
        <v>r32</v>
      </c>
      <c r="B43" t="str">
        <v>2026-06-28T12:00:00-05:00</v>
      </c>
    </row>
    <row r="44">
      <c r="A44" t="str">
        <v>r16</v>
      </c>
      <c r="B44" t="str">
        <v>2026-07-04T12:00:00-05:00</v>
      </c>
    </row>
    <row r="45">
      <c r="A45" t="str">
        <v>qf</v>
      </c>
      <c r="B45" t="str">
        <v>2026-07-09T12:00:00-05:00</v>
      </c>
    </row>
    <row r="46">
      <c r="A46" t="str">
        <v>sf</v>
      </c>
      <c r="B46" t="str">
        <v>2026-07-14T12:00:00-05:00</v>
      </c>
    </row>
    <row r="47">
      <c r="A47" t="str">
        <v>final</v>
      </c>
      <c r="B47" t="str">
        <v>2026-07-18T12:00:00-05:00</v>
      </c>
    </row>
    <row r="48">
      <c r="A48" t="str">
        <v>top_positions</v>
      </c>
      <c r="B48" t="str">
        <v>2026-06-11T16:00:00-05:00</v>
      </c>
    </row>
    <row r="49">
      <c r="A49" t="str">
        <v>top_scorer</v>
      </c>
      <c r="B49" t="str">
        <v>2026-06-11T16:00:00-05:00</v>
      </c>
    </row>
  </sheetData>
  <ignoredErrors>
    <ignoredError numberStoredAsText="1" sqref="A1:D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cols>
    <col min="1" max="1" width="22.83203125" customWidth="1"/>
    <col min="2" max="2" width="45.83203125" customWidth="1"/>
  </cols>
  <sheetData>
    <row r="1">
      <c r="A1" t="str">
        <v>DATOS DEL JUGADOR</v>
      </c>
    </row>
    <row r="3">
      <c r="A3" t="str">
        <v>Nombre completo:</v>
      </c>
      <c r="B3" t="str">
        <v/>
      </c>
    </row>
    <row r="4">
      <c r="A4" t="str">
        <v>Email:</v>
      </c>
      <c r="B4" t="str">
        <v/>
      </c>
    </row>
    <row r="5">
      <c r="A5" t="str">
        <v>Celular:</v>
      </c>
      <c r="B5" t="str">
        <v/>
      </c>
    </row>
  </sheetData>
  <ignoredErrors>
    <ignoredError numberStoredAsText="1" sqref="A1:B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225"/>
  <sheetViews>
    <sheetView workbookViewId="0"/>
  </sheetViews>
  <cols>
    <col min="1" max="1" width="6.83203125" customWidth="1"/>
    <col min="2" max="2" width="22.83203125" customWidth="1"/>
    <col min="3" max="3" width="5.83203125" customWidth="1"/>
    <col min="4" max="4" width="22.83203125" customWidth="1"/>
    <col min="5" max="5" width="6.83203125" customWidth="1"/>
    <col min="6" max="6" width="6.83203125" customWidth="1"/>
    <col min="7" max="7" width="6.83203125" customWidth="1"/>
    <col min="8" max="8" width="6.83203125" customWidth="1"/>
    <col min="9" max="9" width="6.83203125" customWidth="1"/>
    <col min="10" max="10" width="6.83203125" customWidth="1"/>
  </cols>
  <sheetData>
    <row r="1">
      <c r="A1" t="str">
        <v>FASE DE GRUPOS — 72 PARTIDOS</v>
      </c>
      <c r="B1" t="str">
        <v/>
      </c>
      <c r="C1" t="str">
        <v/>
      </c>
      <c r="D1" t="str">
        <v/>
      </c>
      <c r="E1" t="str">
        <v/>
      </c>
      <c r="F1" t="str">
        <v/>
      </c>
    </row>
    <row r="2">
      <c r="A2" t="str">
        <v>Llena solo las columnas GL (goles local) y GV (goles visitante). El resto se calcula solo.</v>
      </c>
    </row>
    <row r="4">
      <c r="A4" t="str">
        <v>GRUPO A: México · Sudáfrica · Corea del Sur · Chequia</v>
      </c>
    </row>
    <row r="5">
      <c r="A5" t="str">
        <v>#</v>
      </c>
      <c r="B5" t="str">
        <v>Local</v>
      </c>
      <c r="C5" t="str">
        <v>vs</v>
      </c>
      <c r="D5" t="str">
        <v>Visitante</v>
      </c>
      <c r="E5" t="str">
        <v>GL</v>
      </c>
      <c r="F5" t="str">
        <v>GV</v>
      </c>
    </row>
    <row r="6">
      <c r="A6">
        <v>1</v>
      </c>
      <c r="B6" t="str">
        <v>México</v>
      </c>
      <c r="C6" t="str">
        <v>vs</v>
      </c>
      <c r="D6" t="str">
        <v>Sudáfrica</v>
      </c>
      <c r="E6" t="str">
        <v/>
      </c>
      <c r="F6" t="str">
        <v/>
      </c>
    </row>
    <row r="7">
      <c r="A7">
        <v>2</v>
      </c>
      <c r="B7" t="str">
        <v>México</v>
      </c>
      <c r="C7" t="str">
        <v>vs</v>
      </c>
      <c r="D7" t="str">
        <v>Corea del Sur</v>
      </c>
      <c r="E7" t="str">
        <v/>
      </c>
      <c r="F7" t="str">
        <v/>
      </c>
    </row>
    <row r="8">
      <c r="A8">
        <v>3</v>
      </c>
      <c r="B8" t="str">
        <v>México</v>
      </c>
      <c r="C8" t="str">
        <v>vs</v>
      </c>
      <c r="D8" t="str">
        <v>Chequia</v>
      </c>
      <c r="E8" t="str">
        <v/>
      </c>
      <c r="F8" t="str">
        <v/>
      </c>
    </row>
    <row r="9">
      <c r="A9">
        <v>4</v>
      </c>
      <c r="B9" t="str">
        <v>Sudáfrica</v>
      </c>
      <c r="C9" t="str">
        <v>vs</v>
      </c>
      <c r="D9" t="str">
        <v>Corea del Sur</v>
      </c>
      <c r="E9" t="str">
        <v/>
      </c>
      <c r="F9" t="str">
        <v/>
      </c>
    </row>
    <row r="10">
      <c r="A10">
        <v>5</v>
      </c>
      <c r="B10" t="str">
        <v>Sudáfrica</v>
      </c>
      <c r="C10" t="str">
        <v>vs</v>
      </c>
      <c r="D10" t="str">
        <v>Chequia</v>
      </c>
      <c r="E10" t="str">
        <v/>
      </c>
      <c r="F10" t="str">
        <v/>
      </c>
    </row>
    <row r="11">
      <c r="A11">
        <v>6</v>
      </c>
      <c r="B11" t="str">
        <v>Corea del Sur</v>
      </c>
      <c r="C11" t="str">
        <v>vs</v>
      </c>
      <c r="D11" t="str">
        <v>Chequia</v>
      </c>
      <c r="E11" t="str">
        <v/>
      </c>
      <c r="F11" t="str">
        <v/>
      </c>
    </row>
    <row r="13">
      <c r="A13" t="str">
        <v>Pos</v>
      </c>
      <c r="B13" t="str">
        <v>Equipo</v>
      </c>
      <c r="C13" t="str">
        <v>PJ</v>
      </c>
      <c r="D13" t="str">
        <v>G</v>
      </c>
      <c r="E13" t="str">
        <v>E</v>
      </c>
      <c r="F13" t="str">
        <v>P</v>
      </c>
      <c r="G13" t="str">
        <v>GF</v>
      </c>
      <c r="H13" t="str">
        <v>GC</v>
      </c>
      <c r="I13" t="str">
        <v>DG</v>
      </c>
      <c r="J13" t="str">
        <v>Pts</v>
      </c>
    </row>
    <row r="14">
      <c r="A14">
        <f>SUMPRODUCT((J14:J17&gt;J14)*1)+SUMPRODUCT((J14:J17=J14)*(I14:I17&gt;I14))+SUMPRODUCT((J14:J17=J14)*(I14:I17=I14)*(G14:G17&gt;G14))+1</f>
      </c>
      <c r="B14" t="str">
        <v>México</v>
      </c>
      <c r="C14">
        <f>D14+E14+F14</f>
      </c>
      <c r="D14">
        <f>SUMPRODUCT(($B$6:$B$11="México")*($E$6:$E$11&gt;$F$6:$F$11)*($E$6:$E$11&lt;&gt;"")*($F$6:$F$11&lt;&gt;""))+SUMPRODUCT(($D$6:$D$11="México")*($F$6:$F$11&gt;$E$6:$E$11)*($E$6:$E$11&lt;&gt;"")*($F$6:$F$11&lt;&gt;""))</f>
      </c>
      <c r="E14">
        <f>SUMPRODUCT((($B$6:$B$11="México")+($D$6:$D$11="México"))*($E$6:$E$11=$F$6:$F$11)*($E$6:$E$11&lt;&gt;"")*($F$6:$F$11&lt;&gt;""))</f>
      </c>
      <c r="F14">
        <f>SUMPRODUCT(($B$6:$B$11="México")*($E$6:$E$11&lt;$F$6:$F$11)*($E$6:$E$11&lt;&gt;"")*($F$6:$F$11&lt;&gt;""))+SUMPRODUCT(($D$6:$D$11="México")*($F$6:$F$11&lt;$E$6:$E$11)*($E$6:$E$11&lt;&gt;"")*($F$6:$F$11&lt;&gt;""))</f>
      </c>
      <c r="G14">
        <f>SUMPRODUCT(($B$6:$B$11="México")*$E$6:$E$11*($E$6:$E$11&lt;&gt;"")*($F$6:$F$11&lt;&gt;""))+SUMPRODUCT(($D$6:$D$11="México")*$F$6:$F$11*($E$6:$E$11&lt;&gt;"")*($F$6:$F$11&lt;&gt;""))</f>
      </c>
      <c r="H14">
        <f>SUMPRODUCT(($B$6:$B$11="México")*$F$6:$F$11*($E$6:$E$11&lt;&gt;"")*($F$6:$F$11&lt;&gt;""))+SUMPRODUCT(($D$6:$D$11="México")*$E$6:$E$11*($E$6:$E$11&lt;&gt;"")*($F$6:$F$11&lt;&gt;""))</f>
      </c>
      <c r="I14">
        <f>G14-H14</f>
      </c>
      <c r="J14">
        <f>D14*3+E14</f>
      </c>
    </row>
    <row r="15">
      <c r="A15">
        <f>SUMPRODUCT((J14:J17&gt;J15)*1)+SUMPRODUCT((J14:J17=J15)*(I14:I17&gt;I15))+SUMPRODUCT((J14:J17=J15)*(I14:I17=I15)*(G14:G17&gt;G15))+1</f>
      </c>
      <c r="B15" t="str">
        <v>Sudáfrica</v>
      </c>
      <c r="C15">
        <f>D15+E15+F15</f>
      </c>
      <c r="D15">
        <f>SUMPRODUCT(($B$6:$B$11="Sudáfrica")*($E$6:$E$11&gt;$F$6:$F$11)*($E$6:$E$11&lt;&gt;"")*($F$6:$F$11&lt;&gt;""))+SUMPRODUCT(($D$6:$D$11="Sudáfrica")*($F$6:$F$11&gt;$E$6:$E$11)*($E$6:$E$11&lt;&gt;"")*($F$6:$F$11&lt;&gt;""))</f>
      </c>
      <c r="E15">
        <f>SUMPRODUCT((($B$6:$B$11="Sudáfrica")+($D$6:$D$11="Sudáfrica"))*($E$6:$E$11=$F$6:$F$11)*($E$6:$E$11&lt;&gt;"")*($F$6:$F$11&lt;&gt;""))</f>
      </c>
      <c r="F15">
        <f>SUMPRODUCT(($B$6:$B$11="Sudáfrica")*($E$6:$E$11&lt;$F$6:$F$11)*($E$6:$E$11&lt;&gt;"")*($F$6:$F$11&lt;&gt;""))+SUMPRODUCT(($D$6:$D$11="Sudáfrica")*($F$6:$F$11&lt;$E$6:$E$11)*($E$6:$E$11&lt;&gt;"")*($F$6:$F$11&lt;&gt;""))</f>
      </c>
      <c r="G15">
        <f>SUMPRODUCT(($B$6:$B$11="Sudáfrica")*$E$6:$E$11*($E$6:$E$11&lt;&gt;"")*($F$6:$F$11&lt;&gt;""))+SUMPRODUCT(($D$6:$D$11="Sudáfrica")*$F$6:$F$11*($E$6:$E$11&lt;&gt;"")*($F$6:$F$11&lt;&gt;""))</f>
      </c>
      <c r="H15">
        <f>SUMPRODUCT(($B$6:$B$11="Sudáfrica")*$F$6:$F$11*($E$6:$E$11&lt;&gt;"")*($F$6:$F$11&lt;&gt;""))+SUMPRODUCT(($D$6:$D$11="Sudáfrica")*$E$6:$E$11*($E$6:$E$11&lt;&gt;"")*($F$6:$F$11&lt;&gt;""))</f>
      </c>
      <c r="I15">
        <f>G15-H15</f>
      </c>
      <c r="J15">
        <f>D15*3+E15</f>
      </c>
    </row>
    <row r="16">
      <c r="A16">
        <f>SUMPRODUCT((J14:J17&gt;J16)*1)+SUMPRODUCT((J14:J17=J16)*(I14:I17&gt;I16))+SUMPRODUCT((J14:J17=J16)*(I14:I17=I16)*(G14:G17&gt;G16))+1</f>
      </c>
      <c r="B16" t="str">
        <v>Corea del Sur</v>
      </c>
      <c r="C16">
        <f>D16+E16+F16</f>
      </c>
      <c r="D16">
        <f>SUMPRODUCT(($B$6:$B$11="Corea del Sur")*($E$6:$E$11&gt;$F$6:$F$11)*($E$6:$E$11&lt;&gt;"")*($F$6:$F$11&lt;&gt;""))+SUMPRODUCT(($D$6:$D$11="Corea del Sur")*($F$6:$F$11&gt;$E$6:$E$11)*($E$6:$E$11&lt;&gt;"")*($F$6:$F$11&lt;&gt;""))</f>
      </c>
      <c r="E16">
        <f>SUMPRODUCT((($B$6:$B$11="Corea del Sur")+($D$6:$D$11="Corea del Sur"))*($E$6:$E$11=$F$6:$F$11)*($E$6:$E$11&lt;&gt;"")*($F$6:$F$11&lt;&gt;""))</f>
      </c>
      <c r="F16">
        <f>SUMPRODUCT(($B$6:$B$11="Corea del Sur")*($E$6:$E$11&lt;$F$6:$F$11)*($E$6:$E$11&lt;&gt;"")*($F$6:$F$11&lt;&gt;""))+SUMPRODUCT(($D$6:$D$11="Corea del Sur")*($F$6:$F$11&lt;$E$6:$E$11)*($E$6:$E$11&lt;&gt;"")*($F$6:$F$11&lt;&gt;""))</f>
      </c>
      <c r="G16">
        <f>SUMPRODUCT(($B$6:$B$11="Corea del Sur")*$E$6:$E$11*($E$6:$E$11&lt;&gt;"")*($F$6:$F$11&lt;&gt;""))+SUMPRODUCT(($D$6:$D$11="Corea del Sur")*$F$6:$F$11*($E$6:$E$11&lt;&gt;"")*($F$6:$F$11&lt;&gt;""))</f>
      </c>
      <c r="H16">
        <f>SUMPRODUCT(($B$6:$B$11="Corea del Sur")*$F$6:$F$11*($E$6:$E$11&lt;&gt;"")*($F$6:$F$11&lt;&gt;""))+SUMPRODUCT(($D$6:$D$11="Corea del Sur")*$E$6:$E$11*($E$6:$E$11&lt;&gt;"")*($F$6:$F$11&lt;&gt;""))</f>
      </c>
      <c r="I16">
        <f>G16-H16</f>
      </c>
      <c r="J16">
        <f>D16*3+E16</f>
      </c>
    </row>
    <row r="17">
      <c r="A17">
        <f>SUMPRODUCT((J14:J17&gt;J17)*1)+SUMPRODUCT((J14:J17=J17)*(I14:I17&gt;I17))+SUMPRODUCT((J14:J17=J17)*(I14:I17=I17)*(G14:G17&gt;G17))+1</f>
      </c>
      <c r="B17" t="str">
        <v>Chequia</v>
      </c>
      <c r="C17">
        <f>D17+E17+F17</f>
      </c>
      <c r="D17">
        <f>SUMPRODUCT(($B$6:$B$11="Chequia")*($E$6:$E$11&gt;$F$6:$F$11)*($E$6:$E$11&lt;&gt;"")*($F$6:$F$11&lt;&gt;""))+SUMPRODUCT(($D$6:$D$11="Chequia")*($F$6:$F$11&gt;$E$6:$E$11)*($E$6:$E$11&lt;&gt;"")*($F$6:$F$11&lt;&gt;""))</f>
      </c>
      <c r="E17">
        <f>SUMPRODUCT((($B$6:$B$11="Chequia")+($D$6:$D$11="Chequia"))*($E$6:$E$11=$F$6:$F$11)*($E$6:$E$11&lt;&gt;"")*($F$6:$F$11&lt;&gt;""))</f>
      </c>
      <c r="F17">
        <f>SUMPRODUCT(($B$6:$B$11="Chequia")*($E$6:$E$11&lt;$F$6:$F$11)*($E$6:$E$11&lt;&gt;"")*($F$6:$F$11&lt;&gt;""))+SUMPRODUCT(($D$6:$D$11="Chequia")*($F$6:$F$11&lt;$E$6:$E$11)*($E$6:$E$11&lt;&gt;"")*($F$6:$F$11&lt;&gt;""))</f>
      </c>
      <c r="G17">
        <f>SUMPRODUCT(($B$6:$B$11="Chequia")*$E$6:$E$11*($E$6:$E$11&lt;&gt;"")*($F$6:$F$11&lt;&gt;""))+SUMPRODUCT(($D$6:$D$11="Chequia")*$F$6:$F$11*($E$6:$E$11&lt;&gt;"")*($F$6:$F$11&lt;&gt;""))</f>
      </c>
      <c r="H17">
        <f>SUMPRODUCT(($B$6:$B$11="Chequia")*$F$6:$F$11*($E$6:$E$11&lt;&gt;"")*($F$6:$F$11&lt;&gt;""))+SUMPRODUCT(($D$6:$D$11="Chequia")*$E$6:$E$11*($E$6:$E$11&lt;&gt;"")*($F$6:$F$11&lt;&gt;""))</f>
      </c>
      <c r="I17">
        <f>G17-H17</f>
      </c>
      <c r="J17">
        <f>D17*3+E17</f>
      </c>
    </row>
    <row r="20">
      <c r="A20" t="str">
        <v>GRUPO B: Canadá · Bosnia y Herzegovina · Qatar · Suiza</v>
      </c>
    </row>
    <row r="21">
      <c r="A21" t="str">
        <v>#</v>
      </c>
      <c r="B21" t="str">
        <v>Local</v>
      </c>
      <c r="C21" t="str">
        <v>vs</v>
      </c>
      <c r="D21" t="str">
        <v>Visitante</v>
      </c>
      <c r="E21" t="str">
        <v>GL</v>
      </c>
      <c r="F21" t="str">
        <v>GV</v>
      </c>
    </row>
    <row r="22">
      <c r="A22">
        <v>1</v>
      </c>
      <c r="B22" t="str">
        <v>Canadá</v>
      </c>
      <c r="C22" t="str">
        <v>vs</v>
      </c>
      <c r="D22" t="str">
        <v>Bosnia y Herzegovina</v>
      </c>
      <c r="E22" t="str">
        <v/>
      </c>
      <c r="F22" t="str">
        <v/>
      </c>
    </row>
    <row r="23">
      <c r="A23">
        <v>2</v>
      </c>
      <c r="B23" t="str">
        <v>Canadá</v>
      </c>
      <c r="C23" t="str">
        <v>vs</v>
      </c>
      <c r="D23" t="str">
        <v>Qatar</v>
      </c>
      <c r="E23" t="str">
        <v/>
      </c>
      <c r="F23" t="str">
        <v/>
      </c>
    </row>
    <row r="24">
      <c r="A24">
        <v>3</v>
      </c>
      <c r="B24" t="str">
        <v>Canadá</v>
      </c>
      <c r="C24" t="str">
        <v>vs</v>
      </c>
      <c r="D24" t="str">
        <v>Suiza</v>
      </c>
      <c r="E24" t="str">
        <v/>
      </c>
      <c r="F24" t="str">
        <v/>
      </c>
    </row>
    <row r="25">
      <c r="A25">
        <v>4</v>
      </c>
      <c r="B25" t="str">
        <v>Bosnia y Herzegovina</v>
      </c>
      <c r="C25" t="str">
        <v>vs</v>
      </c>
      <c r="D25" t="str">
        <v>Qatar</v>
      </c>
      <c r="E25" t="str">
        <v/>
      </c>
      <c r="F25" t="str">
        <v/>
      </c>
    </row>
    <row r="26">
      <c r="A26">
        <v>5</v>
      </c>
      <c r="B26" t="str">
        <v>Bosnia y Herzegovina</v>
      </c>
      <c r="C26" t="str">
        <v>vs</v>
      </c>
      <c r="D26" t="str">
        <v>Suiza</v>
      </c>
      <c r="E26" t="str">
        <v/>
      </c>
      <c r="F26" t="str">
        <v/>
      </c>
    </row>
    <row r="27">
      <c r="A27">
        <v>6</v>
      </c>
      <c r="B27" t="str">
        <v>Qatar</v>
      </c>
      <c r="C27" t="str">
        <v>vs</v>
      </c>
      <c r="D27" t="str">
        <v>Suiza</v>
      </c>
      <c r="E27" t="str">
        <v/>
      </c>
      <c r="F27" t="str">
        <v/>
      </c>
    </row>
    <row r="29">
      <c r="A29" t="str">
        <v>Pos</v>
      </c>
      <c r="B29" t="str">
        <v>Equipo</v>
      </c>
      <c r="C29" t="str">
        <v>PJ</v>
      </c>
      <c r="D29" t="str">
        <v>G</v>
      </c>
      <c r="E29" t="str">
        <v>E</v>
      </c>
      <c r="F29" t="str">
        <v>P</v>
      </c>
      <c r="G29" t="str">
        <v>GF</v>
      </c>
      <c r="H29" t="str">
        <v>GC</v>
      </c>
      <c r="I29" t="str">
        <v>DG</v>
      </c>
      <c r="J29" t="str">
        <v>Pts</v>
      </c>
    </row>
    <row r="30">
      <c r="A30">
        <f>SUMPRODUCT((J30:J33&gt;J30)*1)+SUMPRODUCT((J30:J33=J30)*(I30:I33&gt;I30))+SUMPRODUCT((J30:J33=J30)*(I30:I33=I30)*(G30:G33&gt;G30))+1</f>
      </c>
      <c r="B30" t="str">
        <v>Canadá</v>
      </c>
      <c r="C30">
        <f>D30+E30+F30</f>
      </c>
      <c r="D30">
        <f>SUMPRODUCT(($B$22:$B$27="Canadá")*($E$22:$E$27&gt;$F$22:$F$27)*($E$22:$E$27&lt;&gt;"")*($F$22:$F$27&lt;&gt;""))+SUMPRODUCT(($D$22:$D$27="Canadá")*($F$22:$F$27&gt;$E$22:$E$27)*($E$22:$E$27&lt;&gt;"")*($F$22:$F$27&lt;&gt;""))</f>
      </c>
      <c r="E30">
        <f>SUMPRODUCT((($B$22:$B$27="Canadá")+($D$22:$D$27="Canadá"))*($E$22:$E$27=$F$22:$F$27)*($E$22:$E$27&lt;&gt;"")*($F$22:$F$27&lt;&gt;""))</f>
      </c>
      <c r="F30">
        <f>SUMPRODUCT(($B$22:$B$27="Canadá")*($E$22:$E$27&lt;$F$22:$F$27)*($E$22:$E$27&lt;&gt;"")*($F$22:$F$27&lt;&gt;""))+SUMPRODUCT(($D$22:$D$27="Canadá")*($F$22:$F$27&lt;$E$22:$E$27)*($E$22:$E$27&lt;&gt;"")*($F$22:$F$27&lt;&gt;""))</f>
      </c>
      <c r="G30">
        <f>SUMPRODUCT(($B$22:$B$27="Canadá")*$E$22:$E$27*($E$22:$E$27&lt;&gt;"")*($F$22:$F$27&lt;&gt;""))+SUMPRODUCT(($D$22:$D$27="Canadá")*$F$22:$F$27*($E$22:$E$27&lt;&gt;"")*($F$22:$F$27&lt;&gt;""))</f>
      </c>
      <c r="H30">
        <f>SUMPRODUCT(($B$22:$B$27="Canadá")*$F$22:$F$27*($E$22:$E$27&lt;&gt;"")*($F$22:$F$27&lt;&gt;""))+SUMPRODUCT(($D$22:$D$27="Canadá")*$E$22:$E$27*($E$22:$E$27&lt;&gt;"")*($F$22:$F$27&lt;&gt;""))</f>
      </c>
      <c r="I30">
        <f>G30-H30</f>
      </c>
      <c r="J30">
        <f>D30*3+E30</f>
      </c>
    </row>
    <row r="31">
      <c r="A31">
        <f>SUMPRODUCT((J30:J33&gt;J31)*1)+SUMPRODUCT((J30:J33=J31)*(I30:I33&gt;I31))+SUMPRODUCT((J30:J33=J31)*(I30:I33=I31)*(G30:G33&gt;G31))+1</f>
      </c>
      <c r="B31" t="str">
        <v>Bosnia y Herzegovina</v>
      </c>
      <c r="C31">
        <f>D31+E31+F31</f>
      </c>
      <c r="D31">
        <f>SUMPRODUCT(($B$22:$B$27="Bosnia y Herzegovina")*($E$22:$E$27&gt;$F$22:$F$27)*($E$22:$E$27&lt;&gt;"")*($F$22:$F$27&lt;&gt;""))+SUMPRODUCT(($D$22:$D$27="Bosnia y Herzegovina")*($F$22:$F$27&gt;$E$22:$E$27)*($E$22:$E$27&lt;&gt;"")*($F$22:$F$27&lt;&gt;""))</f>
      </c>
      <c r="E31">
        <f>SUMPRODUCT((($B$22:$B$27="Bosnia y Herzegovina")+($D$22:$D$27="Bosnia y Herzegovina"))*($E$22:$E$27=$F$22:$F$27)*($E$22:$E$27&lt;&gt;"")*($F$22:$F$27&lt;&gt;""))</f>
      </c>
      <c r="F31">
        <f>SUMPRODUCT(($B$22:$B$27="Bosnia y Herzegovina")*($E$22:$E$27&lt;$F$22:$F$27)*($E$22:$E$27&lt;&gt;"")*($F$22:$F$27&lt;&gt;""))+SUMPRODUCT(($D$22:$D$27="Bosnia y Herzegovina")*($F$22:$F$27&lt;$E$22:$E$27)*($E$22:$E$27&lt;&gt;"")*($F$22:$F$27&lt;&gt;""))</f>
      </c>
      <c r="G31">
        <f>SUMPRODUCT(($B$22:$B$27="Bosnia y Herzegovina")*$E$22:$E$27*($E$22:$E$27&lt;&gt;"")*($F$22:$F$27&lt;&gt;""))+SUMPRODUCT(($D$22:$D$27="Bosnia y Herzegovina")*$F$22:$F$27*($E$22:$E$27&lt;&gt;"")*($F$22:$F$27&lt;&gt;""))</f>
      </c>
      <c r="H31">
        <f>SUMPRODUCT(($B$22:$B$27="Bosnia y Herzegovina")*$F$22:$F$27*($E$22:$E$27&lt;&gt;"")*($F$22:$F$27&lt;&gt;""))+SUMPRODUCT(($D$22:$D$27="Bosnia y Herzegovina")*$E$22:$E$27*($E$22:$E$27&lt;&gt;"")*($F$22:$F$27&lt;&gt;""))</f>
      </c>
      <c r="I31">
        <f>G31-H31</f>
      </c>
      <c r="J31">
        <f>D31*3+E31</f>
      </c>
    </row>
    <row r="32">
      <c r="A32">
        <f>SUMPRODUCT((J30:J33&gt;J32)*1)+SUMPRODUCT((J30:J33=J32)*(I30:I33&gt;I32))+SUMPRODUCT((J30:J33=J32)*(I30:I33=I32)*(G30:G33&gt;G32))+1</f>
      </c>
      <c r="B32" t="str">
        <v>Qatar</v>
      </c>
      <c r="C32">
        <f>D32+E32+F32</f>
      </c>
      <c r="D32">
        <f>SUMPRODUCT(($B$22:$B$27="Qatar")*($E$22:$E$27&gt;$F$22:$F$27)*($E$22:$E$27&lt;&gt;"")*($F$22:$F$27&lt;&gt;""))+SUMPRODUCT(($D$22:$D$27="Qatar")*($F$22:$F$27&gt;$E$22:$E$27)*($E$22:$E$27&lt;&gt;"")*($F$22:$F$27&lt;&gt;""))</f>
      </c>
      <c r="E32">
        <f>SUMPRODUCT((($B$22:$B$27="Qatar")+($D$22:$D$27="Qatar"))*($E$22:$E$27=$F$22:$F$27)*($E$22:$E$27&lt;&gt;"")*($F$22:$F$27&lt;&gt;""))</f>
      </c>
      <c r="F32">
        <f>SUMPRODUCT(($B$22:$B$27="Qatar")*($E$22:$E$27&lt;$F$22:$F$27)*($E$22:$E$27&lt;&gt;"")*($F$22:$F$27&lt;&gt;""))+SUMPRODUCT(($D$22:$D$27="Qatar")*($F$22:$F$27&lt;$E$22:$E$27)*($E$22:$E$27&lt;&gt;"")*($F$22:$F$27&lt;&gt;""))</f>
      </c>
      <c r="G32">
        <f>SUMPRODUCT(($B$22:$B$27="Qatar")*$E$22:$E$27*($E$22:$E$27&lt;&gt;"")*($F$22:$F$27&lt;&gt;""))+SUMPRODUCT(($D$22:$D$27="Qatar")*$F$22:$F$27*($E$22:$E$27&lt;&gt;"")*($F$22:$F$27&lt;&gt;""))</f>
      </c>
      <c r="H32">
        <f>SUMPRODUCT(($B$22:$B$27="Qatar")*$F$22:$F$27*($E$22:$E$27&lt;&gt;"")*($F$22:$F$27&lt;&gt;""))+SUMPRODUCT(($D$22:$D$27="Qatar")*$E$22:$E$27*($E$22:$E$27&lt;&gt;"")*($F$22:$F$27&lt;&gt;""))</f>
      </c>
      <c r="I32">
        <f>G32-H32</f>
      </c>
      <c r="J32">
        <f>D32*3+E32</f>
      </c>
    </row>
    <row r="33">
      <c r="A33">
        <f>SUMPRODUCT((J30:J33&gt;J33)*1)+SUMPRODUCT((J30:J33=J33)*(I30:I33&gt;I33))+SUMPRODUCT((J30:J33=J33)*(I30:I33=I33)*(G30:G33&gt;G33))+1</f>
      </c>
      <c r="B33" t="str">
        <v>Suiza</v>
      </c>
      <c r="C33">
        <f>D33+E33+F33</f>
      </c>
      <c r="D33">
        <f>SUMPRODUCT(($B$22:$B$27="Suiza")*($E$22:$E$27&gt;$F$22:$F$27)*($E$22:$E$27&lt;&gt;"")*($F$22:$F$27&lt;&gt;""))+SUMPRODUCT(($D$22:$D$27="Suiza")*($F$22:$F$27&gt;$E$22:$E$27)*($E$22:$E$27&lt;&gt;"")*($F$22:$F$27&lt;&gt;""))</f>
      </c>
      <c r="E33">
        <f>SUMPRODUCT((($B$22:$B$27="Suiza")+($D$22:$D$27="Suiza"))*($E$22:$E$27=$F$22:$F$27)*($E$22:$E$27&lt;&gt;"")*($F$22:$F$27&lt;&gt;""))</f>
      </c>
      <c r="F33">
        <f>SUMPRODUCT(($B$22:$B$27="Suiza")*($E$22:$E$27&lt;$F$22:$F$27)*($E$22:$E$27&lt;&gt;"")*($F$22:$F$27&lt;&gt;""))+SUMPRODUCT(($D$22:$D$27="Suiza")*($F$22:$F$27&lt;$E$22:$E$27)*($E$22:$E$27&lt;&gt;"")*($F$22:$F$27&lt;&gt;""))</f>
      </c>
      <c r="G33">
        <f>SUMPRODUCT(($B$22:$B$27="Suiza")*$E$22:$E$27*($E$22:$E$27&lt;&gt;"")*($F$22:$F$27&lt;&gt;""))+SUMPRODUCT(($D$22:$D$27="Suiza")*$F$22:$F$27*($E$22:$E$27&lt;&gt;"")*($F$22:$F$27&lt;&gt;""))</f>
      </c>
      <c r="H33">
        <f>SUMPRODUCT(($B$22:$B$27="Suiza")*$F$22:$F$27*($E$22:$E$27&lt;&gt;"")*($F$22:$F$27&lt;&gt;""))+SUMPRODUCT(($D$22:$D$27="Suiza")*$E$22:$E$27*($E$22:$E$27&lt;&gt;"")*($F$22:$F$27&lt;&gt;""))</f>
      </c>
      <c r="I33">
        <f>G33-H33</f>
      </c>
      <c r="J33">
        <f>D33*3+E33</f>
      </c>
    </row>
    <row r="36">
      <c r="A36" t="str">
        <v>GRUPO C: Brasil · Marruecos · Haití · Escocia</v>
      </c>
    </row>
    <row r="37">
      <c r="A37" t="str">
        <v>#</v>
      </c>
      <c r="B37" t="str">
        <v>Local</v>
      </c>
      <c r="C37" t="str">
        <v>vs</v>
      </c>
      <c r="D37" t="str">
        <v>Visitante</v>
      </c>
      <c r="E37" t="str">
        <v>GL</v>
      </c>
      <c r="F37" t="str">
        <v>GV</v>
      </c>
    </row>
    <row r="38">
      <c r="A38">
        <v>1</v>
      </c>
      <c r="B38" t="str">
        <v>Brasil</v>
      </c>
      <c r="C38" t="str">
        <v>vs</v>
      </c>
      <c r="D38" t="str">
        <v>Marruecos</v>
      </c>
      <c r="E38" t="str">
        <v/>
      </c>
      <c r="F38" t="str">
        <v/>
      </c>
    </row>
    <row r="39">
      <c r="A39">
        <v>2</v>
      </c>
      <c r="B39" t="str">
        <v>Brasil</v>
      </c>
      <c r="C39" t="str">
        <v>vs</v>
      </c>
      <c r="D39" t="str">
        <v>Haití</v>
      </c>
      <c r="E39" t="str">
        <v/>
      </c>
      <c r="F39" t="str">
        <v/>
      </c>
    </row>
    <row r="40">
      <c r="A40">
        <v>3</v>
      </c>
      <c r="B40" t="str">
        <v>Brasil</v>
      </c>
      <c r="C40" t="str">
        <v>vs</v>
      </c>
      <c r="D40" t="str">
        <v>Escocia</v>
      </c>
      <c r="E40" t="str">
        <v/>
      </c>
      <c r="F40" t="str">
        <v/>
      </c>
    </row>
    <row r="41">
      <c r="A41">
        <v>4</v>
      </c>
      <c r="B41" t="str">
        <v>Marruecos</v>
      </c>
      <c r="C41" t="str">
        <v>vs</v>
      </c>
      <c r="D41" t="str">
        <v>Haití</v>
      </c>
      <c r="E41" t="str">
        <v/>
      </c>
      <c r="F41" t="str">
        <v/>
      </c>
    </row>
    <row r="42">
      <c r="A42">
        <v>5</v>
      </c>
      <c r="B42" t="str">
        <v>Marruecos</v>
      </c>
      <c r="C42" t="str">
        <v>vs</v>
      </c>
      <c r="D42" t="str">
        <v>Escocia</v>
      </c>
      <c r="E42" t="str">
        <v/>
      </c>
      <c r="F42" t="str">
        <v/>
      </c>
    </row>
    <row r="43">
      <c r="A43">
        <v>6</v>
      </c>
      <c r="B43" t="str">
        <v>Haití</v>
      </c>
      <c r="C43" t="str">
        <v>vs</v>
      </c>
      <c r="D43" t="str">
        <v>Escocia</v>
      </c>
      <c r="E43" t="str">
        <v/>
      </c>
      <c r="F43" t="str">
        <v/>
      </c>
    </row>
    <row r="45">
      <c r="A45" t="str">
        <v>Pos</v>
      </c>
      <c r="B45" t="str">
        <v>Equipo</v>
      </c>
      <c r="C45" t="str">
        <v>PJ</v>
      </c>
      <c r="D45" t="str">
        <v>G</v>
      </c>
      <c r="E45" t="str">
        <v>E</v>
      </c>
      <c r="F45" t="str">
        <v>P</v>
      </c>
      <c r="G45" t="str">
        <v>GF</v>
      </c>
      <c r="H45" t="str">
        <v>GC</v>
      </c>
      <c r="I45" t="str">
        <v>DG</v>
      </c>
      <c r="J45" t="str">
        <v>Pts</v>
      </c>
    </row>
    <row r="46">
      <c r="A46">
        <f>SUMPRODUCT((J46:J49&gt;J46)*1)+SUMPRODUCT((J46:J49=J46)*(I46:I49&gt;I46))+SUMPRODUCT((J46:J49=J46)*(I46:I49=I46)*(G46:G49&gt;G46))+1</f>
      </c>
      <c r="B46" t="str">
        <v>Brasil</v>
      </c>
      <c r="C46">
        <f>D46+E46+F46</f>
      </c>
      <c r="D46">
        <f>SUMPRODUCT(($B$38:$B$43="Brasil")*($E$38:$E$43&gt;$F$38:$F$43)*($E$38:$E$43&lt;&gt;"")*($F$38:$F$43&lt;&gt;""))+SUMPRODUCT(($D$38:$D$43="Brasil")*($F$38:$F$43&gt;$E$38:$E$43)*($E$38:$E$43&lt;&gt;"")*($F$38:$F$43&lt;&gt;""))</f>
      </c>
      <c r="E46">
        <f>SUMPRODUCT((($B$38:$B$43="Brasil")+($D$38:$D$43="Brasil"))*($E$38:$E$43=$F$38:$F$43)*($E$38:$E$43&lt;&gt;"")*($F$38:$F$43&lt;&gt;""))</f>
      </c>
      <c r="F46">
        <f>SUMPRODUCT(($B$38:$B$43="Brasil")*($E$38:$E$43&lt;$F$38:$F$43)*($E$38:$E$43&lt;&gt;"")*($F$38:$F$43&lt;&gt;""))+SUMPRODUCT(($D$38:$D$43="Brasil")*($F$38:$F$43&lt;$E$38:$E$43)*($E$38:$E$43&lt;&gt;"")*($F$38:$F$43&lt;&gt;""))</f>
      </c>
      <c r="G46">
        <f>SUMPRODUCT(($B$38:$B$43="Brasil")*$E$38:$E$43*($E$38:$E$43&lt;&gt;"")*($F$38:$F$43&lt;&gt;""))+SUMPRODUCT(($D$38:$D$43="Brasil")*$F$38:$F$43*($E$38:$E$43&lt;&gt;"")*($F$38:$F$43&lt;&gt;""))</f>
      </c>
      <c r="H46">
        <f>SUMPRODUCT(($B$38:$B$43="Brasil")*$F$38:$F$43*($E$38:$E$43&lt;&gt;"")*($F$38:$F$43&lt;&gt;""))+SUMPRODUCT(($D$38:$D$43="Brasil")*$E$38:$E$43*($E$38:$E$43&lt;&gt;"")*($F$38:$F$43&lt;&gt;""))</f>
      </c>
      <c r="I46">
        <f>G46-H46</f>
      </c>
      <c r="J46">
        <f>D46*3+E46</f>
      </c>
    </row>
    <row r="47">
      <c r="A47">
        <f>SUMPRODUCT((J46:J49&gt;J47)*1)+SUMPRODUCT((J46:J49=J47)*(I46:I49&gt;I47))+SUMPRODUCT((J46:J49=J47)*(I46:I49=I47)*(G46:G49&gt;G47))+1</f>
      </c>
      <c r="B47" t="str">
        <v>Marruecos</v>
      </c>
      <c r="C47">
        <f>D47+E47+F47</f>
      </c>
      <c r="D47">
        <f>SUMPRODUCT(($B$38:$B$43="Marruecos")*($E$38:$E$43&gt;$F$38:$F$43)*($E$38:$E$43&lt;&gt;"")*($F$38:$F$43&lt;&gt;""))+SUMPRODUCT(($D$38:$D$43="Marruecos")*($F$38:$F$43&gt;$E$38:$E$43)*($E$38:$E$43&lt;&gt;"")*($F$38:$F$43&lt;&gt;""))</f>
      </c>
      <c r="E47">
        <f>SUMPRODUCT((($B$38:$B$43="Marruecos")+($D$38:$D$43="Marruecos"))*($E$38:$E$43=$F$38:$F$43)*($E$38:$E$43&lt;&gt;"")*($F$38:$F$43&lt;&gt;""))</f>
      </c>
      <c r="F47">
        <f>SUMPRODUCT(($B$38:$B$43="Marruecos")*($E$38:$E$43&lt;$F$38:$F$43)*($E$38:$E$43&lt;&gt;"")*($F$38:$F$43&lt;&gt;""))+SUMPRODUCT(($D$38:$D$43="Marruecos")*($F$38:$F$43&lt;$E$38:$E$43)*($E$38:$E$43&lt;&gt;"")*($F$38:$F$43&lt;&gt;""))</f>
      </c>
      <c r="G47">
        <f>SUMPRODUCT(($B$38:$B$43="Marruecos")*$E$38:$E$43*($E$38:$E$43&lt;&gt;"")*($F$38:$F$43&lt;&gt;""))+SUMPRODUCT(($D$38:$D$43="Marruecos")*$F$38:$F$43*($E$38:$E$43&lt;&gt;"")*($F$38:$F$43&lt;&gt;""))</f>
      </c>
      <c r="H47">
        <f>SUMPRODUCT(($B$38:$B$43="Marruecos")*$F$38:$F$43*($E$38:$E$43&lt;&gt;"")*($F$38:$F$43&lt;&gt;""))+SUMPRODUCT(($D$38:$D$43="Marruecos")*$E$38:$E$43*($E$38:$E$43&lt;&gt;"")*($F$38:$F$43&lt;&gt;""))</f>
      </c>
      <c r="I47">
        <f>G47-H47</f>
      </c>
      <c r="J47">
        <f>D47*3+E47</f>
      </c>
    </row>
    <row r="48">
      <c r="A48">
        <f>SUMPRODUCT((J46:J49&gt;J48)*1)+SUMPRODUCT((J46:J49=J48)*(I46:I49&gt;I48))+SUMPRODUCT((J46:J49=J48)*(I46:I49=I48)*(G46:G49&gt;G48))+1</f>
      </c>
      <c r="B48" t="str">
        <v>Haití</v>
      </c>
      <c r="C48">
        <f>D48+E48+F48</f>
      </c>
      <c r="D48">
        <f>SUMPRODUCT(($B$38:$B$43="Haití")*($E$38:$E$43&gt;$F$38:$F$43)*($E$38:$E$43&lt;&gt;"")*($F$38:$F$43&lt;&gt;""))+SUMPRODUCT(($D$38:$D$43="Haití")*($F$38:$F$43&gt;$E$38:$E$43)*($E$38:$E$43&lt;&gt;"")*($F$38:$F$43&lt;&gt;""))</f>
      </c>
      <c r="E48">
        <f>SUMPRODUCT((($B$38:$B$43="Haití")+($D$38:$D$43="Haití"))*($E$38:$E$43=$F$38:$F$43)*($E$38:$E$43&lt;&gt;"")*($F$38:$F$43&lt;&gt;""))</f>
      </c>
      <c r="F48">
        <f>SUMPRODUCT(($B$38:$B$43="Haití")*($E$38:$E$43&lt;$F$38:$F$43)*($E$38:$E$43&lt;&gt;"")*($F$38:$F$43&lt;&gt;""))+SUMPRODUCT(($D$38:$D$43="Haití")*($F$38:$F$43&lt;$E$38:$E$43)*($E$38:$E$43&lt;&gt;"")*($F$38:$F$43&lt;&gt;""))</f>
      </c>
      <c r="G48">
        <f>SUMPRODUCT(($B$38:$B$43="Haití")*$E$38:$E$43*($E$38:$E$43&lt;&gt;"")*($F$38:$F$43&lt;&gt;""))+SUMPRODUCT(($D$38:$D$43="Haití")*$F$38:$F$43*($E$38:$E$43&lt;&gt;"")*($F$38:$F$43&lt;&gt;""))</f>
      </c>
      <c r="H48">
        <f>SUMPRODUCT(($B$38:$B$43="Haití")*$F$38:$F$43*($E$38:$E$43&lt;&gt;"")*($F$38:$F$43&lt;&gt;""))+SUMPRODUCT(($D$38:$D$43="Haití")*$E$38:$E$43*($E$38:$E$43&lt;&gt;"")*($F$38:$F$43&lt;&gt;""))</f>
      </c>
      <c r="I48">
        <f>G48-H48</f>
      </c>
      <c r="J48">
        <f>D48*3+E48</f>
      </c>
    </row>
    <row r="49">
      <c r="A49">
        <f>SUMPRODUCT((J46:J49&gt;J49)*1)+SUMPRODUCT((J46:J49=J49)*(I46:I49&gt;I49))+SUMPRODUCT((J46:J49=J49)*(I46:I49=I49)*(G46:G49&gt;G49))+1</f>
      </c>
      <c r="B49" t="str">
        <v>Escocia</v>
      </c>
      <c r="C49">
        <f>D49+E49+F49</f>
      </c>
      <c r="D49">
        <f>SUMPRODUCT(($B$38:$B$43="Escocia")*($E$38:$E$43&gt;$F$38:$F$43)*($E$38:$E$43&lt;&gt;"")*($F$38:$F$43&lt;&gt;""))+SUMPRODUCT(($D$38:$D$43="Escocia")*($F$38:$F$43&gt;$E$38:$E$43)*($E$38:$E$43&lt;&gt;"")*($F$38:$F$43&lt;&gt;""))</f>
      </c>
      <c r="E49">
        <f>SUMPRODUCT((($B$38:$B$43="Escocia")+($D$38:$D$43="Escocia"))*($E$38:$E$43=$F$38:$F$43)*($E$38:$E$43&lt;&gt;"")*($F$38:$F$43&lt;&gt;""))</f>
      </c>
      <c r="F49">
        <f>SUMPRODUCT(($B$38:$B$43="Escocia")*($E$38:$E$43&lt;$F$38:$F$43)*($E$38:$E$43&lt;&gt;"")*($F$38:$F$43&lt;&gt;""))+SUMPRODUCT(($D$38:$D$43="Escocia")*($F$38:$F$43&lt;$E$38:$E$43)*($E$38:$E$43&lt;&gt;"")*($F$38:$F$43&lt;&gt;""))</f>
      </c>
      <c r="G49">
        <f>SUMPRODUCT(($B$38:$B$43="Escocia")*$E$38:$E$43*($E$38:$E$43&lt;&gt;"")*($F$38:$F$43&lt;&gt;""))+SUMPRODUCT(($D$38:$D$43="Escocia")*$F$38:$F$43*($E$38:$E$43&lt;&gt;"")*($F$38:$F$43&lt;&gt;""))</f>
      </c>
      <c r="H49">
        <f>SUMPRODUCT(($B$38:$B$43="Escocia")*$F$38:$F$43*($E$38:$E$43&lt;&gt;"")*($F$38:$F$43&lt;&gt;""))+SUMPRODUCT(($D$38:$D$43="Escocia")*$E$38:$E$43*($E$38:$E$43&lt;&gt;"")*($F$38:$F$43&lt;&gt;""))</f>
      </c>
      <c r="I49">
        <f>G49-H49</f>
      </c>
      <c r="J49">
        <f>D49*3+E49</f>
      </c>
    </row>
    <row r="52">
      <c r="A52" t="str">
        <v>GRUPO D: Estados Unidos · Paraguay · Australia · Turquía</v>
      </c>
    </row>
    <row r="53">
      <c r="A53" t="str">
        <v>#</v>
      </c>
      <c r="B53" t="str">
        <v>Local</v>
      </c>
      <c r="C53" t="str">
        <v>vs</v>
      </c>
      <c r="D53" t="str">
        <v>Visitante</v>
      </c>
      <c r="E53" t="str">
        <v>GL</v>
      </c>
      <c r="F53" t="str">
        <v>GV</v>
      </c>
    </row>
    <row r="54">
      <c r="A54">
        <v>1</v>
      </c>
      <c r="B54" t="str">
        <v>Estados Unidos</v>
      </c>
      <c r="C54" t="str">
        <v>vs</v>
      </c>
      <c r="D54" t="str">
        <v>Paraguay</v>
      </c>
      <c r="E54" t="str">
        <v/>
      </c>
      <c r="F54" t="str">
        <v/>
      </c>
    </row>
    <row r="55">
      <c r="A55">
        <v>2</v>
      </c>
      <c r="B55" t="str">
        <v>Estados Unidos</v>
      </c>
      <c r="C55" t="str">
        <v>vs</v>
      </c>
      <c r="D55" t="str">
        <v>Australia</v>
      </c>
      <c r="E55" t="str">
        <v/>
      </c>
      <c r="F55" t="str">
        <v/>
      </c>
    </row>
    <row r="56">
      <c r="A56">
        <v>3</v>
      </c>
      <c r="B56" t="str">
        <v>Estados Unidos</v>
      </c>
      <c r="C56" t="str">
        <v>vs</v>
      </c>
      <c r="D56" t="str">
        <v>Turquía</v>
      </c>
      <c r="E56" t="str">
        <v/>
      </c>
      <c r="F56" t="str">
        <v/>
      </c>
    </row>
    <row r="57">
      <c r="A57">
        <v>4</v>
      </c>
      <c r="B57" t="str">
        <v>Paraguay</v>
      </c>
      <c r="C57" t="str">
        <v>vs</v>
      </c>
      <c r="D57" t="str">
        <v>Australia</v>
      </c>
      <c r="E57" t="str">
        <v/>
      </c>
      <c r="F57" t="str">
        <v/>
      </c>
    </row>
    <row r="58">
      <c r="A58">
        <v>5</v>
      </c>
      <c r="B58" t="str">
        <v>Paraguay</v>
      </c>
      <c r="C58" t="str">
        <v>vs</v>
      </c>
      <c r="D58" t="str">
        <v>Turquía</v>
      </c>
      <c r="E58" t="str">
        <v/>
      </c>
      <c r="F58" t="str">
        <v/>
      </c>
    </row>
    <row r="59">
      <c r="A59">
        <v>6</v>
      </c>
      <c r="B59" t="str">
        <v>Australia</v>
      </c>
      <c r="C59" t="str">
        <v>vs</v>
      </c>
      <c r="D59" t="str">
        <v>Turquía</v>
      </c>
      <c r="E59" t="str">
        <v/>
      </c>
      <c r="F59" t="str">
        <v/>
      </c>
    </row>
    <row r="61">
      <c r="A61" t="str">
        <v>Pos</v>
      </c>
      <c r="B61" t="str">
        <v>Equipo</v>
      </c>
      <c r="C61" t="str">
        <v>PJ</v>
      </c>
      <c r="D61" t="str">
        <v>G</v>
      </c>
      <c r="E61" t="str">
        <v>E</v>
      </c>
      <c r="F61" t="str">
        <v>P</v>
      </c>
      <c r="G61" t="str">
        <v>GF</v>
      </c>
      <c r="H61" t="str">
        <v>GC</v>
      </c>
      <c r="I61" t="str">
        <v>DG</v>
      </c>
      <c r="J61" t="str">
        <v>Pts</v>
      </c>
    </row>
    <row r="62">
      <c r="A62">
        <f>SUMPRODUCT((J62:J65&gt;J62)*1)+SUMPRODUCT((J62:J65=J62)*(I62:I65&gt;I62))+SUMPRODUCT((J62:J65=J62)*(I62:I65=I62)*(G62:G65&gt;G62))+1</f>
      </c>
      <c r="B62" t="str">
        <v>Estados Unidos</v>
      </c>
      <c r="C62">
        <f>D62+E62+F62</f>
      </c>
      <c r="D62">
        <f>SUMPRODUCT(($B$54:$B$59="Estados Unidos")*($E$54:$E$59&gt;$F$54:$F$59)*($E$54:$E$59&lt;&gt;"")*($F$54:$F$59&lt;&gt;""))+SUMPRODUCT(($D$54:$D$59="Estados Unidos")*($F$54:$F$59&gt;$E$54:$E$59)*($E$54:$E$59&lt;&gt;"")*($F$54:$F$59&lt;&gt;""))</f>
      </c>
      <c r="E62">
        <f>SUMPRODUCT((($B$54:$B$59="Estados Unidos")+($D$54:$D$59="Estados Unidos"))*($E$54:$E$59=$F$54:$F$59)*($E$54:$E$59&lt;&gt;"")*($F$54:$F$59&lt;&gt;""))</f>
      </c>
      <c r="F62">
        <f>SUMPRODUCT(($B$54:$B$59="Estados Unidos")*($E$54:$E$59&lt;$F$54:$F$59)*($E$54:$E$59&lt;&gt;"")*($F$54:$F$59&lt;&gt;""))+SUMPRODUCT(($D$54:$D$59="Estados Unidos")*($F$54:$F$59&lt;$E$54:$E$59)*($E$54:$E$59&lt;&gt;"")*($F$54:$F$59&lt;&gt;""))</f>
      </c>
      <c r="G62">
        <f>SUMPRODUCT(($B$54:$B$59="Estados Unidos")*$E$54:$E$59*($E$54:$E$59&lt;&gt;"")*($F$54:$F$59&lt;&gt;""))+SUMPRODUCT(($D$54:$D$59="Estados Unidos")*$F$54:$F$59*($E$54:$E$59&lt;&gt;"")*($F$54:$F$59&lt;&gt;""))</f>
      </c>
      <c r="H62">
        <f>SUMPRODUCT(($B$54:$B$59="Estados Unidos")*$F$54:$F$59*($E$54:$E$59&lt;&gt;"")*($F$54:$F$59&lt;&gt;""))+SUMPRODUCT(($D$54:$D$59="Estados Unidos")*$E$54:$E$59*($E$54:$E$59&lt;&gt;"")*($F$54:$F$59&lt;&gt;""))</f>
      </c>
      <c r="I62">
        <f>G62-H62</f>
      </c>
      <c r="J62">
        <f>D62*3+E62</f>
      </c>
    </row>
    <row r="63">
      <c r="A63">
        <f>SUMPRODUCT((J62:J65&gt;J63)*1)+SUMPRODUCT((J62:J65=J63)*(I62:I65&gt;I63))+SUMPRODUCT((J62:J65=J63)*(I62:I65=I63)*(G62:G65&gt;G63))+1</f>
      </c>
      <c r="B63" t="str">
        <v>Paraguay</v>
      </c>
      <c r="C63">
        <f>D63+E63+F63</f>
      </c>
      <c r="D63">
        <f>SUMPRODUCT(($B$54:$B$59="Paraguay")*($E$54:$E$59&gt;$F$54:$F$59)*($E$54:$E$59&lt;&gt;"")*($F$54:$F$59&lt;&gt;""))+SUMPRODUCT(($D$54:$D$59="Paraguay")*($F$54:$F$59&gt;$E$54:$E$59)*($E$54:$E$59&lt;&gt;"")*($F$54:$F$59&lt;&gt;""))</f>
      </c>
      <c r="E63">
        <f>SUMPRODUCT((($B$54:$B$59="Paraguay")+($D$54:$D$59="Paraguay"))*($E$54:$E$59=$F$54:$F$59)*($E$54:$E$59&lt;&gt;"")*($F$54:$F$59&lt;&gt;""))</f>
      </c>
      <c r="F63">
        <f>SUMPRODUCT(($B$54:$B$59="Paraguay")*($E$54:$E$59&lt;$F$54:$F$59)*($E$54:$E$59&lt;&gt;"")*($F$54:$F$59&lt;&gt;""))+SUMPRODUCT(($D$54:$D$59="Paraguay")*($F$54:$F$59&lt;$E$54:$E$59)*($E$54:$E$59&lt;&gt;"")*($F$54:$F$59&lt;&gt;""))</f>
      </c>
      <c r="G63">
        <f>SUMPRODUCT(($B$54:$B$59="Paraguay")*$E$54:$E$59*($E$54:$E$59&lt;&gt;"")*($F$54:$F$59&lt;&gt;""))+SUMPRODUCT(($D$54:$D$59="Paraguay")*$F$54:$F$59*($E$54:$E$59&lt;&gt;"")*($F$54:$F$59&lt;&gt;""))</f>
      </c>
      <c r="H63">
        <f>SUMPRODUCT(($B$54:$B$59="Paraguay")*$F$54:$F$59*($E$54:$E$59&lt;&gt;"")*($F$54:$F$59&lt;&gt;""))+SUMPRODUCT(($D$54:$D$59="Paraguay")*$E$54:$E$59*($E$54:$E$59&lt;&gt;"")*($F$54:$F$59&lt;&gt;""))</f>
      </c>
      <c r="I63">
        <f>G63-H63</f>
      </c>
      <c r="J63">
        <f>D63*3+E63</f>
      </c>
    </row>
    <row r="64">
      <c r="A64">
        <f>SUMPRODUCT((J62:J65&gt;J64)*1)+SUMPRODUCT((J62:J65=J64)*(I62:I65&gt;I64))+SUMPRODUCT((J62:J65=J64)*(I62:I65=I64)*(G62:G65&gt;G64))+1</f>
      </c>
      <c r="B64" t="str">
        <v>Australia</v>
      </c>
      <c r="C64">
        <f>D64+E64+F64</f>
      </c>
      <c r="D64">
        <f>SUMPRODUCT(($B$54:$B$59="Australia")*($E$54:$E$59&gt;$F$54:$F$59)*($E$54:$E$59&lt;&gt;"")*($F$54:$F$59&lt;&gt;""))+SUMPRODUCT(($D$54:$D$59="Australia")*($F$54:$F$59&gt;$E$54:$E$59)*($E$54:$E$59&lt;&gt;"")*($F$54:$F$59&lt;&gt;""))</f>
      </c>
      <c r="E64">
        <f>SUMPRODUCT((($B$54:$B$59="Australia")+($D$54:$D$59="Australia"))*($E$54:$E$59=$F$54:$F$59)*($E$54:$E$59&lt;&gt;"")*($F$54:$F$59&lt;&gt;""))</f>
      </c>
      <c r="F64">
        <f>SUMPRODUCT(($B$54:$B$59="Australia")*($E$54:$E$59&lt;$F$54:$F$59)*($E$54:$E$59&lt;&gt;"")*($F$54:$F$59&lt;&gt;""))+SUMPRODUCT(($D$54:$D$59="Australia")*($F$54:$F$59&lt;$E$54:$E$59)*($E$54:$E$59&lt;&gt;"")*($F$54:$F$59&lt;&gt;""))</f>
      </c>
      <c r="G64">
        <f>SUMPRODUCT(($B$54:$B$59="Australia")*$E$54:$E$59*($E$54:$E$59&lt;&gt;"")*($F$54:$F$59&lt;&gt;""))+SUMPRODUCT(($D$54:$D$59="Australia")*$F$54:$F$59*($E$54:$E$59&lt;&gt;"")*($F$54:$F$59&lt;&gt;""))</f>
      </c>
      <c r="H64">
        <f>SUMPRODUCT(($B$54:$B$59="Australia")*$F$54:$F$59*($E$54:$E$59&lt;&gt;"")*($F$54:$F$59&lt;&gt;""))+SUMPRODUCT(($D$54:$D$59="Australia")*$E$54:$E$59*($E$54:$E$59&lt;&gt;"")*($F$54:$F$59&lt;&gt;""))</f>
      </c>
      <c r="I64">
        <f>G64-H64</f>
      </c>
      <c r="J64">
        <f>D64*3+E64</f>
      </c>
    </row>
    <row r="65">
      <c r="A65">
        <f>SUMPRODUCT((J62:J65&gt;J65)*1)+SUMPRODUCT((J62:J65=J65)*(I62:I65&gt;I65))+SUMPRODUCT((J62:J65=J65)*(I62:I65=I65)*(G62:G65&gt;G65))+1</f>
      </c>
      <c r="B65" t="str">
        <v>Turquía</v>
      </c>
      <c r="C65">
        <f>D65+E65+F65</f>
      </c>
      <c r="D65">
        <f>SUMPRODUCT(($B$54:$B$59="Turquía")*($E$54:$E$59&gt;$F$54:$F$59)*($E$54:$E$59&lt;&gt;"")*($F$54:$F$59&lt;&gt;""))+SUMPRODUCT(($D$54:$D$59="Turquía")*($F$54:$F$59&gt;$E$54:$E$59)*($E$54:$E$59&lt;&gt;"")*($F$54:$F$59&lt;&gt;""))</f>
      </c>
      <c r="E65">
        <f>SUMPRODUCT((($B$54:$B$59="Turquía")+($D$54:$D$59="Turquía"))*($E$54:$E$59=$F$54:$F$59)*($E$54:$E$59&lt;&gt;"")*($F$54:$F$59&lt;&gt;""))</f>
      </c>
      <c r="F65">
        <f>SUMPRODUCT(($B$54:$B$59="Turquía")*($E$54:$E$59&lt;$F$54:$F$59)*($E$54:$E$59&lt;&gt;"")*($F$54:$F$59&lt;&gt;""))+SUMPRODUCT(($D$54:$D$59="Turquía")*($F$54:$F$59&lt;$E$54:$E$59)*($E$54:$E$59&lt;&gt;"")*($F$54:$F$59&lt;&gt;""))</f>
      </c>
      <c r="G65">
        <f>SUMPRODUCT(($B$54:$B$59="Turquía")*$E$54:$E$59*($E$54:$E$59&lt;&gt;"")*($F$54:$F$59&lt;&gt;""))+SUMPRODUCT(($D$54:$D$59="Turquía")*$F$54:$F$59*($E$54:$E$59&lt;&gt;"")*($F$54:$F$59&lt;&gt;""))</f>
      </c>
      <c r="H65">
        <f>SUMPRODUCT(($B$54:$B$59="Turquía")*$F$54:$F$59*($E$54:$E$59&lt;&gt;"")*($F$54:$F$59&lt;&gt;""))+SUMPRODUCT(($D$54:$D$59="Turquía")*$E$54:$E$59*($E$54:$E$59&lt;&gt;"")*($F$54:$F$59&lt;&gt;""))</f>
      </c>
      <c r="I65">
        <f>G65-H65</f>
      </c>
      <c r="J65">
        <f>D65*3+E65</f>
      </c>
    </row>
    <row r="68">
      <c r="A68" t="str">
        <v>GRUPO E: Alemania · Curazao · Costa de Marfil · Ecuador</v>
      </c>
    </row>
    <row r="69">
      <c r="A69" t="str">
        <v>#</v>
      </c>
      <c r="B69" t="str">
        <v>Local</v>
      </c>
      <c r="C69" t="str">
        <v>vs</v>
      </c>
      <c r="D69" t="str">
        <v>Visitante</v>
      </c>
      <c r="E69" t="str">
        <v>GL</v>
      </c>
      <c r="F69" t="str">
        <v>GV</v>
      </c>
    </row>
    <row r="70">
      <c r="A70">
        <v>1</v>
      </c>
      <c r="B70" t="str">
        <v>Alemania</v>
      </c>
      <c r="C70" t="str">
        <v>vs</v>
      </c>
      <c r="D70" t="str">
        <v>Curazao</v>
      </c>
      <c r="E70" t="str">
        <v/>
      </c>
      <c r="F70" t="str">
        <v/>
      </c>
    </row>
    <row r="71">
      <c r="A71">
        <v>2</v>
      </c>
      <c r="B71" t="str">
        <v>Alemania</v>
      </c>
      <c r="C71" t="str">
        <v>vs</v>
      </c>
      <c r="D71" t="str">
        <v>Costa de Marfil</v>
      </c>
      <c r="E71" t="str">
        <v/>
      </c>
      <c r="F71" t="str">
        <v/>
      </c>
    </row>
    <row r="72">
      <c r="A72">
        <v>3</v>
      </c>
      <c r="B72" t="str">
        <v>Alemania</v>
      </c>
      <c r="C72" t="str">
        <v>vs</v>
      </c>
      <c r="D72" t="str">
        <v>Ecuador</v>
      </c>
      <c r="E72" t="str">
        <v/>
      </c>
      <c r="F72" t="str">
        <v/>
      </c>
    </row>
    <row r="73">
      <c r="A73">
        <v>4</v>
      </c>
      <c r="B73" t="str">
        <v>Curazao</v>
      </c>
      <c r="C73" t="str">
        <v>vs</v>
      </c>
      <c r="D73" t="str">
        <v>Costa de Marfil</v>
      </c>
      <c r="E73" t="str">
        <v/>
      </c>
      <c r="F73" t="str">
        <v/>
      </c>
    </row>
    <row r="74">
      <c r="A74">
        <v>5</v>
      </c>
      <c r="B74" t="str">
        <v>Curazao</v>
      </c>
      <c r="C74" t="str">
        <v>vs</v>
      </c>
      <c r="D74" t="str">
        <v>Ecuador</v>
      </c>
      <c r="E74" t="str">
        <v/>
      </c>
      <c r="F74" t="str">
        <v/>
      </c>
    </row>
    <row r="75">
      <c r="A75">
        <v>6</v>
      </c>
      <c r="B75" t="str">
        <v>Costa de Marfil</v>
      </c>
      <c r="C75" t="str">
        <v>vs</v>
      </c>
      <c r="D75" t="str">
        <v>Ecuador</v>
      </c>
      <c r="E75" t="str">
        <v/>
      </c>
      <c r="F75" t="str">
        <v/>
      </c>
    </row>
    <row r="77">
      <c r="A77" t="str">
        <v>Pos</v>
      </c>
      <c r="B77" t="str">
        <v>Equipo</v>
      </c>
      <c r="C77" t="str">
        <v>PJ</v>
      </c>
      <c r="D77" t="str">
        <v>G</v>
      </c>
      <c r="E77" t="str">
        <v>E</v>
      </c>
      <c r="F77" t="str">
        <v>P</v>
      </c>
      <c r="G77" t="str">
        <v>GF</v>
      </c>
      <c r="H77" t="str">
        <v>GC</v>
      </c>
      <c r="I77" t="str">
        <v>DG</v>
      </c>
      <c r="J77" t="str">
        <v>Pts</v>
      </c>
    </row>
    <row r="78">
      <c r="A78">
        <f>SUMPRODUCT((J78:J81&gt;J78)*1)+SUMPRODUCT((J78:J81=J78)*(I78:I81&gt;I78))+SUMPRODUCT((J78:J81=J78)*(I78:I81=I78)*(G78:G81&gt;G78))+1</f>
      </c>
      <c r="B78" t="str">
        <v>Alemania</v>
      </c>
      <c r="C78">
        <f>D78+E78+F78</f>
      </c>
      <c r="D78">
        <f>SUMPRODUCT(($B$70:$B$75="Alemania")*($E$70:$E$75&gt;$F$70:$F$75)*($E$70:$E$75&lt;&gt;"")*($F$70:$F$75&lt;&gt;""))+SUMPRODUCT(($D$70:$D$75="Alemania")*($F$70:$F$75&gt;$E$70:$E$75)*($E$70:$E$75&lt;&gt;"")*($F$70:$F$75&lt;&gt;""))</f>
      </c>
      <c r="E78">
        <f>SUMPRODUCT((($B$70:$B$75="Alemania")+($D$70:$D$75="Alemania"))*($E$70:$E$75=$F$70:$F$75)*($E$70:$E$75&lt;&gt;"")*($F$70:$F$75&lt;&gt;""))</f>
      </c>
      <c r="F78">
        <f>SUMPRODUCT(($B$70:$B$75="Alemania")*($E$70:$E$75&lt;$F$70:$F$75)*($E$70:$E$75&lt;&gt;"")*($F$70:$F$75&lt;&gt;""))+SUMPRODUCT(($D$70:$D$75="Alemania")*($F$70:$F$75&lt;$E$70:$E$75)*($E$70:$E$75&lt;&gt;"")*($F$70:$F$75&lt;&gt;""))</f>
      </c>
      <c r="G78">
        <f>SUMPRODUCT(($B$70:$B$75="Alemania")*$E$70:$E$75*($E$70:$E$75&lt;&gt;"")*($F$70:$F$75&lt;&gt;""))+SUMPRODUCT(($D$70:$D$75="Alemania")*$F$70:$F$75*($E$70:$E$75&lt;&gt;"")*($F$70:$F$75&lt;&gt;""))</f>
      </c>
      <c r="H78">
        <f>SUMPRODUCT(($B$70:$B$75="Alemania")*$F$70:$F$75*($E$70:$E$75&lt;&gt;"")*($F$70:$F$75&lt;&gt;""))+SUMPRODUCT(($D$70:$D$75="Alemania")*$E$70:$E$75*($E$70:$E$75&lt;&gt;"")*($F$70:$F$75&lt;&gt;""))</f>
      </c>
      <c r="I78">
        <f>G78-H78</f>
      </c>
      <c r="J78">
        <f>D78*3+E78</f>
      </c>
    </row>
    <row r="79">
      <c r="A79">
        <f>SUMPRODUCT((J78:J81&gt;J79)*1)+SUMPRODUCT((J78:J81=J79)*(I78:I81&gt;I79))+SUMPRODUCT((J78:J81=J79)*(I78:I81=I79)*(G78:G81&gt;G79))+1</f>
      </c>
      <c r="B79" t="str">
        <v>Curazao</v>
      </c>
      <c r="C79">
        <f>D79+E79+F79</f>
      </c>
      <c r="D79">
        <f>SUMPRODUCT(($B$70:$B$75="Curazao")*($E$70:$E$75&gt;$F$70:$F$75)*($E$70:$E$75&lt;&gt;"")*($F$70:$F$75&lt;&gt;""))+SUMPRODUCT(($D$70:$D$75="Curazao")*($F$70:$F$75&gt;$E$70:$E$75)*($E$70:$E$75&lt;&gt;"")*($F$70:$F$75&lt;&gt;""))</f>
      </c>
      <c r="E79">
        <f>SUMPRODUCT((($B$70:$B$75="Curazao")+($D$70:$D$75="Curazao"))*($E$70:$E$75=$F$70:$F$75)*($E$70:$E$75&lt;&gt;"")*($F$70:$F$75&lt;&gt;""))</f>
      </c>
      <c r="F79">
        <f>SUMPRODUCT(($B$70:$B$75="Curazao")*($E$70:$E$75&lt;$F$70:$F$75)*($E$70:$E$75&lt;&gt;"")*($F$70:$F$75&lt;&gt;""))+SUMPRODUCT(($D$70:$D$75="Curazao")*($F$70:$F$75&lt;$E$70:$E$75)*($E$70:$E$75&lt;&gt;"")*($F$70:$F$75&lt;&gt;""))</f>
      </c>
      <c r="G79">
        <f>SUMPRODUCT(($B$70:$B$75="Curazao")*$E$70:$E$75*($E$70:$E$75&lt;&gt;"")*($F$70:$F$75&lt;&gt;""))+SUMPRODUCT(($D$70:$D$75="Curazao")*$F$70:$F$75*($E$70:$E$75&lt;&gt;"")*($F$70:$F$75&lt;&gt;""))</f>
      </c>
      <c r="H79">
        <f>SUMPRODUCT(($B$70:$B$75="Curazao")*$F$70:$F$75*($E$70:$E$75&lt;&gt;"")*($F$70:$F$75&lt;&gt;""))+SUMPRODUCT(($D$70:$D$75="Curazao")*$E$70:$E$75*($E$70:$E$75&lt;&gt;"")*($F$70:$F$75&lt;&gt;""))</f>
      </c>
      <c r="I79">
        <f>G79-H79</f>
      </c>
      <c r="J79">
        <f>D79*3+E79</f>
      </c>
    </row>
    <row r="80">
      <c r="A80">
        <f>SUMPRODUCT((J78:J81&gt;J80)*1)+SUMPRODUCT((J78:J81=J80)*(I78:I81&gt;I80))+SUMPRODUCT((J78:J81=J80)*(I78:I81=I80)*(G78:G81&gt;G80))+1</f>
      </c>
      <c r="B80" t="str">
        <v>Costa de Marfil</v>
      </c>
      <c r="C80">
        <f>D80+E80+F80</f>
      </c>
      <c r="D80">
        <f>SUMPRODUCT(($B$70:$B$75="Costa de Marfil")*($E$70:$E$75&gt;$F$70:$F$75)*($E$70:$E$75&lt;&gt;"")*($F$70:$F$75&lt;&gt;""))+SUMPRODUCT(($D$70:$D$75="Costa de Marfil")*($F$70:$F$75&gt;$E$70:$E$75)*($E$70:$E$75&lt;&gt;"")*($F$70:$F$75&lt;&gt;""))</f>
      </c>
      <c r="E80">
        <f>SUMPRODUCT((($B$70:$B$75="Costa de Marfil")+($D$70:$D$75="Costa de Marfil"))*($E$70:$E$75=$F$70:$F$75)*($E$70:$E$75&lt;&gt;"")*($F$70:$F$75&lt;&gt;""))</f>
      </c>
      <c r="F80">
        <f>SUMPRODUCT(($B$70:$B$75="Costa de Marfil")*($E$70:$E$75&lt;$F$70:$F$75)*($E$70:$E$75&lt;&gt;"")*($F$70:$F$75&lt;&gt;""))+SUMPRODUCT(($D$70:$D$75="Costa de Marfil")*($F$70:$F$75&lt;$E$70:$E$75)*($E$70:$E$75&lt;&gt;"")*($F$70:$F$75&lt;&gt;""))</f>
      </c>
      <c r="G80">
        <f>SUMPRODUCT(($B$70:$B$75="Costa de Marfil")*$E$70:$E$75*($E$70:$E$75&lt;&gt;"")*($F$70:$F$75&lt;&gt;""))+SUMPRODUCT(($D$70:$D$75="Costa de Marfil")*$F$70:$F$75*($E$70:$E$75&lt;&gt;"")*($F$70:$F$75&lt;&gt;""))</f>
      </c>
      <c r="H80">
        <f>SUMPRODUCT(($B$70:$B$75="Costa de Marfil")*$F$70:$F$75*($E$70:$E$75&lt;&gt;"")*($F$70:$F$75&lt;&gt;""))+SUMPRODUCT(($D$70:$D$75="Costa de Marfil")*$E$70:$E$75*($E$70:$E$75&lt;&gt;"")*($F$70:$F$75&lt;&gt;""))</f>
      </c>
      <c r="I80">
        <f>G80-H80</f>
      </c>
      <c r="J80">
        <f>D80*3+E80</f>
      </c>
    </row>
    <row r="81">
      <c r="A81">
        <f>SUMPRODUCT((J78:J81&gt;J81)*1)+SUMPRODUCT((J78:J81=J81)*(I78:I81&gt;I81))+SUMPRODUCT((J78:J81=J81)*(I78:I81=I81)*(G78:G81&gt;G81))+1</f>
      </c>
      <c r="B81" t="str">
        <v>Ecuador</v>
      </c>
      <c r="C81">
        <f>D81+E81+F81</f>
      </c>
      <c r="D81">
        <f>SUMPRODUCT(($B$70:$B$75="Ecuador")*($E$70:$E$75&gt;$F$70:$F$75)*($E$70:$E$75&lt;&gt;"")*($F$70:$F$75&lt;&gt;""))+SUMPRODUCT(($D$70:$D$75="Ecuador")*($F$70:$F$75&gt;$E$70:$E$75)*($E$70:$E$75&lt;&gt;"")*($F$70:$F$75&lt;&gt;""))</f>
      </c>
      <c r="E81">
        <f>SUMPRODUCT((($B$70:$B$75="Ecuador")+($D$70:$D$75="Ecuador"))*($E$70:$E$75=$F$70:$F$75)*($E$70:$E$75&lt;&gt;"")*($F$70:$F$75&lt;&gt;""))</f>
      </c>
      <c r="F81">
        <f>SUMPRODUCT(($B$70:$B$75="Ecuador")*($E$70:$E$75&lt;$F$70:$F$75)*($E$70:$E$75&lt;&gt;"")*($F$70:$F$75&lt;&gt;""))+SUMPRODUCT(($D$70:$D$75="Ecuador")*($F$70:$F$75&lt;$E$70:$E$75)*($E$70:$E$75&lt;&gt;"")*($F$70:$F$75&lt;&gt;""))</f>
      </c>
      <c r="G81">
        <f>SUMPRODUCT(($B$70:$B$75="Ecuador")*$E$70:$E$75*($E$70:$E$75&lt;&gt;"")*($F$70:$F$75&lt;&gt;""))+SUMPRODUCT(($D$70:$D$75="Ecuador")*$F$70:$F$75*($E$70:$E$75&lt;&gt;"")*($F$70:$F$75&lt;&gt;""))</f>
      </c>
      <c r="H81">
        <f>SUMPRODUCT(($B$70:$B$75="Ecuador")*$F$70:$F$75*($E$70:$E$75&lt;&gt;"")*($F$70:$F$75&lt;&gt;""))+SUMPRODUCT(($D$70:$D$75="Ecuador")*$E$70:$E$75*($E$70:$E$75&lt;&gt;"")*($F$70:$F$75&lt;&gt;""))</f>
      </c>
      <c r="I81">
        <f>G81-H81</f>
      </c>
      <c r="J81">
        <f>D81*3+E81</f>
      </c>
    </row>
    <row r="84">
      <c r="A84" t="str">
        <v>GRUPO F: Países Bajos · Japón · Suecia · Túnez</v>
      </c>
    </row>
    <row r="85">
      <c r="A85" t="str">
        <v>#</v>
      </c>
      <c r="B85" t="str">
        <v>Local</v>
      </c>
      <c r="C85" t="str">
        <v>vs</v>
      </c>
      <c r="D85" t="str">
        <v>Visitante</v>
      </c>
      <c r="E85" t="str">
        <v>GL</v>
      </c>
      <c r="F85" t="str">
        <v>GV</v>
      </c>
    </row>
    <row r="86">
      <c r="A86">
        <v>1</v>
      </c>
      <c r="B86" t="str">
        <v>Países Bajos</v>
      </c>
      <c r="C86" t="str">
        <v>vs</v>
      </c>
      <c r="D86" t="str">
        <v>Japón</v>
      </c>
      <c r="E86" t="str">
        <v/>
      </c>
      <c r="F86" t="str">
        <v/>
      </c>
    </row>
    <row r="87">
      <c r="A87">
        <v>2</v>
      </c>
      <c r="B87" t="str">
        <v>Países Bajos</v>
      </c>
      <c r="C87" t="str">
        <v>vs</v>
      </c>
      <c r="D87" t="str">
        <v>Suecia</v>
      </c>
      <c r="E87" t="str">
        <v/>
      </c>
      <c r="F87" t="str">
        <v/>
      </c>
    </row>
    <row r="88">
      <c r="A88">
        <v>3</v>
      </c>
      <c r="B88" t="str">
        <v>Países Bajos</v>
      </c>
      <c r="C88" t="str">
        <v>vs</v>
      </c>
      <c r="D88" t="str">
        <v>Túnez</v>
      </c>
      <c r="E88" t="str">
        <v/>
      </c>
      <c r="F88" t="str">
        <v/>
      </c>
    </row>
    <row r="89">
      <c r="A89">
        <v>4</v>
      </c>
      <c r="B89" t="str">
        <v>Japón</v>
      </c>
      <c r="C89" t="str">
        <v>vs</v>
      </c>
      <c r="D89" t="str">
        <v>Suecia</v>
      </c>
      <c r="E89" t="str">
        <v/>
      </c>
      <c r="F89" t="str">
        <v/>
      </c>
    </row>
    <row r="90">
      <c r="A90">
        <v>5</v>
      </c>
      <c r="B90" t="str">
        <v>Japón</v>
      </c>
      <c r="C90" t="str">
        <v>vs</v>
      </c>
      <c r="D90" t="str">
        <v>Túnez</v>
      </c>
      <c r="E90" t="str">
        <v/>
      </c>
      <c r="F90" t="str">
        <v/>
      </c>
    </row>
    <row r="91">
      <c r="A91">
        <v>6</v>
      </c>
      <c r="B91" t="str">
        <v>Suecia</v>
      </c>
      <c r="C91" t="str">
        <v>vs</v>
      </c>
      <c r="D91" t="str">
        <v>Túnez</v>
      </c>
      <c r="E91" t="str">
        <v/>
      </c>
      <c r="F91" t="str">
        <v/>
      </c>
    </row>
    <row r="93">
      <c r="A93" t="str">
        <v>Pos</v>
      </c>
      <c r="B93" t="str">
        <v>Equipo</v>
      </c>
      <c r="C93" t="str">
        <v>PJ</v>
      </c>
      <c r="D93" t="str">
        <v>G</v>
      </c>
      <c r="E93" t="str">
        <v>E</v>
      </c>
      <c r="F93" t="str">
        <v>P</v>
      </c>
      <c r="G93" t="str">
        <v>GF</v>
      </c>
      <c r="H93" t="str">
        <v>GC</v>
      </c>
      <c r="I93" t="str">
        <v>DG</v>
      </c>
      <c r="J93" t="str">
        <v>Pts</v>
      </c>
    </row>
    <row r="94">
      <c r="A94">
        <f>SUMPRODUCT((J94:J97&gt;J94)*1)+SUMPRODUCT((J94:J97=J94)*(I94:I97&gt;I94))+SUMPRODUCT((J94:J97=J94)*(I94:I97=I94)*(G94:G97&gt;G94))+1</f>
      </c>
      <c r="B94" t="str">
        <v>Países Bajos</v>
      </c>
      <c r="C94">
        <f>D94+E94+F94</f>
      </c>
      <c r="D94">
        <f>SUMPRODUCT(($B$86:$B$91="Países Bajos")*($E$86:$E$91&gt;$F$86:$F$91)*($E$86:$E$91&lt;&gt;"")*($F$86:$F$91&lt;&gt;""))+SUMPRODUCT(($D$86:$D$91="Países Bajos")*($F$86:$F$91&gt;$E$86:$E$91)*($E$86:$E$91&lt;&gt;"")*($F$86:$F$91&lt;&gt;""))</f>
      </c>
      <c r="E94">
        <f>SUMPRODUCT((($B$86:$B$91="Países Bajos")+($D$86:$D$91="Países Bajos"))*($E$86:$E$91=$F$86:$F$91)*($E$86:$E$91&lt;&gt;"")*($F$86:$F$91&lt;&gt;""))</f>
      </c>
      <c r="F94">
        <f>SUMPRODUCT(($B$86:$B$91="Países Bajos")*($E$86:$E$91&lt;$F$86:$F$91)*($E$86:$E$91&lt;&gt;"")*($F$86:$F$91&lt;&gt;""))+SUMPRODUCT(($D$86:$D$91="Países Bajos")*($F$86:$F$91&lt;$E$86:$E$91)*($E$86:$E$91&lt;&gt;"")*($F$86:$F$91&lt;&gt;""))</f>
      </c>
      <c r="G94">
        <f>SUMPRODUCT(($B$86:$B$91="Países Bajos")*$E$86:$E$91*($E$86:$E$91&lt;&gt;"")*($F$86:$F$91&lt;&gt;""))+SUMPRODUCT(($D$86:$D$91="Países Bajos")*$F$86:$F$91*($E$86:$E$91&lt;&gt;"")*($F$86:$F$91&lt;&gt;""))</f>
      </c>
      <c r="H94">
        <f>SUMPRODUCT(($B$86:$B$91="Países Bajos")*$F$86:$F$91*($E$86:$E$91&lt;&gt;"")*($F$86:$F$91&lt;&gt;""))+SUMPRODUCT(($D$86:$D$91="Países Bajos")*$E$86:$E$91*($E$86:$E$91&lt;&gt;"")*($F$86:$F$91&lt;&gt;""))</f>
      </c>
      <c r="I94">
        <f>G94-H94</f>
      </c>
      <c r="J94">
        <f>D94*3+E94</f>
      </c>
    </row>
    <row r="95">
      <c r="A95">
        <f>SUMPRODUCT((J94:J97&gt;J95)*1)+SUMPRODUCT((J94:J97=J95)*(I94:I97&gt;I95))+SUMPRODUCT((J94:J97=J95)*(I94:I97=I95)*(G94:G97&gt;G95))+1</f>
      </c>
      <c r="B95" t="str">
        <v>Japón</v>
      </c>
      <c r="C95">
        <f>D95+E95+F95</f>
      </c>
      <c r="D95">
        <f>SUMPRODUCT(($B$86:$B$91="Japón")*($E$86:$E$91&gt;$F$86:$F$91)*($E$86:$E$91&lt;&gt;"")*($F$86:$F$91&lt;&gt;""))+SUMPRODUCT(($D$86:$D$91="Japón")*($F$86:$F$91&gt;$E$86:$E$91)*($E$86:$E$91&lt;&gt;"")*($F$86:$F$91&lt;&gt;""))</f>
      </c>
      <c r="E95">
        <f>SUMPRODUCT((($B$86:$B$91="Japón")+($D$86:$D$91="Japón"))*($E$86:$E$91=$F$86:$F$91)*($E$86:$E$91&lt;&gt;"")*($F$86:$F$91&lt;&gt;""))</f>
      </c>
      <c r="F95">
        <f>SUMPRODUCT(($B$86:$B$91="Japón")*($E$86:$E$91&lt;$F$86:$F$91)*($E$86:$E$91&lt;&gt;"")*($F$86:$F$91&lt;&gt;""))+SUMPRODUCT(($D$86:$D$91="Japón")*($F$86:$F$91&lt;$E$86:$E$91)*($E$86:$E$91&lt;&gt;"")*($F$86:$F$91&lt;&gt;""))</f>
      </c>
      <c r="G95">
        <f>SUMPRODUCT(($B$86:$B$91="Japón")*$E$86:$E$91*($E$86:$E$91&lt;&gt;"")*($F$86:$F$91&lt;&gt;""))+SUMPRODUCT(($D$86:$D$91="Japón")*$F$86:$F$91*($E$86:$E$91&lt;&gt;"")*($F$86:$F$91&lt;&gt;""))</f>
      </c>
      <c r="H95">
        <f>SUMPRODUCT(($B$86:$B$91="Japón")*$F$86:$F$91*($E$86:$E$91&lt;&gt;"")*($F$86:$F$91&lt;&gt;""))+SUMPRODUCT(($D$86:$D$91="Japón")*$E$86:$E$91*($E$86:$E$91&lt;&gt;"")*($F$86:$F$91&lt;&gt;""))</f>
      </c>
      <c r="I95">
        <f>G95-H95</f>
      </c>
      <c r="J95">
        <f>D95*3+E95</f>
      </c>
    </row>
    <row r="96">
      <c r="A96">
        <f>SUMPRODUCT((J94:J97&gt;J96)*1)+SUMPRODUCT((J94:J97=J96)*(I94:I97&gt;I96))+SUMPRODUCT((J94:J97=J96)*(I94:I97=I96)*(G94:G97&gt;G96))+1</f>
      </c>
      <c r="B96" t="str">
        <v>Suecia</v>
      </c>
      <c r="C96">
        <f>D96+E96+F96</f>
      </c>
      <c r="D96">
        <f>SUMPRODUCT(($B$86:$B$91="Suecia")*($E$86:$E$91&gt;$F$86:$F$91)*($E$86:$E$91&lt;&gt;"")*($F$86:$F$91&lt;&gt;""))+SUMPRODUCT(($D$86:$D$91="Suecia")*($F$86:$F$91&gt;$E$86:$E$91)*($E$86:$E$91&lt;&gt;"")*($F$86:$F$91&lt;&gt;""))</f>
      </c>
      <c r="E96">
        <f>SUMPRODUCT((($B$86:$B$91="Suecia")+($D$86:$D$91="Suecia"))*($E$86:$E$91=$F$86:$F$91)*($E$86:$E$91&lt;&gt;"")*($F$86:$F$91&lt;&gt;""))</f>
      </c>
      <c r="F96">
        <f>SUMPRODUCT(($B$86:$B$91="Suecia")*($E$86:$E$91&lt;$F$86:$F$91)*($E$86:$E$91&lt;&gt;"")*($F$86:$F$91&lt;&gt;""))+SUMPRODUCT(($D$86:$D$91="Suecia")*($F$86:$F$91&lt;$E$86:$E$91)*($E$86:$E$91&lt;&gt;"")*($F$86:$F$91&lt;&gt;""))</f>
      </c>
      <c r="G96">
        <f>SUMPRODUCT(($B$86:$B$91="Suecia")*$E$86:$E$91*($E$86:$E$91&lt;&gt;"")*($F$86:$F$91&lt;&gt;""))+SUMPRODUCT(($D$86:$D$91="Suecia")*$F$86:$F$91*($E$86:$E$91&lt;&gt;"")*($F$86:$F$91&lt;&gt;""))</f>
      </c>
      <c r="H96">
        <f>SUMPRODUCT(($B$86:$B$91="Suecia")*$F$86:$F$91*($E$86:$E$91&lt;&gt;"")*($F$86:$F$91&lt;&gt;""))+SUMPRODUCT(($D$86:$D$91="Suecia")*$E$86:$E$91*($E$86:$E$91&lt;&gt;"")*($F$86:$F$91&lt;&gt;""))</f>
      </c>
      <c r="I96">
        <f>G96-H96</f>
      </c>
      <c r="J96">
        <f>D96*3+E96</f>
      </c>
    </row>
    <row r="97">
      <c r="A97">
        <f>SUMPRODUCT((J94:J97&gt;J97)*1)+SUMPRODUCT((J94:J97=J97)*(I94:I97&gt;I97))+SUMPRODUCT((J94:J97=J97)*(I94:I97=I97)*(G94:G97&gt;G97))+1</f>
      </c>
      <c r="B97" t="str">
        <v>Túnez</v>
      </c>
      <c r="C97">
        <f>D97+E97+F97</f>
      </c>
      <c r="D97">
        <f>SUMPRODUCT(($B$86:$B$91="Túnez")*($E$86:$E$91&gt;$F$86:$F$91)*($E$86:$E$91&lt;&gt;"")*($F$86:$F$91&lt;&gt;""))+SUMPRODUCT(($D$86:$D$91="Túnez")*($F$86:$F$91&gt;$E$86:$E$91)*($E$86:$E$91&lt;&gt;"")*($F$86:$F$91&lt;&gt;""))</f>
      </c>
      <c r="E97">
        <f>SUMPRODUCT((($B$86:$B$91="Túnez")+($D$86:$D$91="Túnez"))*($E$86:$E$91=$F$86:$F$91)*($E$86:$E$91&lt;&gt;"")*($F$86:$F$91&lt;&gt;""))</f>
      </c>
      <c r="F97">
        <f>SUMPRODUCT(($B$86:$B$91="Túnez")*($E$86:$E$91&lt;$F$86:$F$91)*($E$86:$E$91&lt;&gt;"")*($F$86:$F$91&lt;&gt;""))+SUMPRODUCT(($D$86:$D$91="Túnez")*($F$86:$F$91&lt;$E$86:$E$91)*($E$86:$E$91&lt;&gt;"")*($F$86:$F$91&lt;&gt;""))</f>
      </c>
      <c r="G97">
        <f>SUMPRODUCT(($B$86:$B$91="Túnez")*$E$86:$E$91*($E$86:$E$91&lt;&gt;"")*($F$86:$F$91&lt;&gt;""))+SUMPRODUCT(($D$86:$D$91="Túnez")*$F$86:$F$91*($E$86:$E$91&lt;&gt;"")*($F$86:$F$91&lt;&gt;""))</f>
      </c>
      <c r="H97">
        <f>SUMPRODUCT(($B$86:$B$91="Túnez")*$F$86:$F$91*($E$86:$E$91&lt;&gt;"")*($F$86:$F$91&lt;&gt;""))+SUMPRODUCT(($D$86:$D$91="Túnez")*$E$86:$E$91*($E$86:$E$91&lt;&gt;"")*($F$86:$F$91&lt;&gt;""))</f>
      </c>
      <c r="I97">
        <f>G97-H97</f>
      </c>
      <c r="J97">
        <f>D97*3+E97</f>
      </c>
    </row>
    <row r="100">
      <c r="A100" t="str">
        <v>GRUPO G: Bélgica · Egipto · Irán · Nueva Zelanda</v>
      </c>
    </row>
    <row r="101">
      <c r="A101" t="str">
        <v>#</v>
      </c>
      <c r="B101" t="str">
        <v>Local</v>
      </c>
      <c r="C101" t="str">
        <v>vs</v>
      </c>
      <c r="D101" t="str">
        <v>Visitante</v>
      </c>
      <c r="E101" t="str">
        <v>GL</v>
      </c>
      <c r="F101" t="str">
        <v>GV</v>
      </c>
    </row>
    <row r="102">
      <c r="A102">
        <v>1</v>
      </c>
      <c r="B102" t="str">
        <v>Bélgica</v>
      </c>
      <c r="C102" t="str">
        <v>vs</v>
      </c>
      <c r="D102" t="str">
        <v>Egipto</v>
      </c>
      <c r="E102" t="str">
        <v/>
      </c>
      <c r="F102" t="str">
        <v/>
      </c>
    </row>
    <row r="103">
      <c r="A103">
        <v>2</v>
      </c>
      <c r="B103" t="str">
        <v>Bélgica</v>
      </c>
      <c r="C103" t="str">
        <v>vs</v>
      </c>
      <c r="D103" t="str">
        <v>Irán</v>
      </c>
      <c r="E103" t="str">
        <v/>
      </c>
      <c r="F103" t="str">
        <v/>
      </c>
    </row>
    <row r="104">
      <c r="A104">
        <v>3</v>
      </c>
      <c r="B104" t="str">
        <v>Bélgica</v>
      </c>
      <c r="C104" t="str">
        <v>vs</v>
      </c>
      <c r="D104" t="str">
        <v>Nueva Zelanda</v>
      </c>
      <c r="E104" t="str">
        <v/>
      </c>
      <c r="F104" t="str">
        <v/>
      </c>
    </row>
    <row r="105">
      <c r="A105">
        <v>4</v>
      </c>
      <c r="B105" t="str">
        <v>Egipto</v>
      </c>
      <c r="C105" t="str">
        <v>vs</v>
      </c>
      <c r="D105" t="str">
        <v>Irán</v>
      </c>
      <c r="E105" t="str">
        <v/>
      </c>
      <c r="F105" t="str">
        <v/>
      </c>
    </row>
    <row r="106">
      <c r="A106">
        <v>5</v>
      </c>
      <c r="B106" t="str">
        <v>Egipto</v>
      </c>
      <c r="C106" t="str">
        <v>vs</v>
      </c>
      <c r="D106" t="str">
        <v>Nueva Zelanda</v>
      </c>
      <c r="E106" t="str">
        <v/>
      </c>
      <c r="F106" t="str">
        <v/>
      </c>
    </row>
    <row r="107">
      <c r="A107">
        <v>6</v>
      </c>
      <c r="B107" t="str">
        <v>Irán</v>
      </c>
      <c r="C107" t="str">
        <v>vs</v>
      </c>
      <c r="D107" t="str">
        <v>Nueva Zelanda</v>
      </c>
      <c r="E107" t="str">
        <v/>
      </c>
      <c r="F107" t="str">
        <v/>
      </c>
    </row>
    <row r="109">
      <c r="A109" t="str">
        <v>Pos</v>
      </c>
      <c r="B109" t="str">
        <v>Equipo</v>
      </c>
      <c r="C109" t="str">
        <v>PJ</v>
      </c>
      <c r="D109" t="str">
        <v>G</v>
      </c>
      <c r="E109" t="str">
        <v>E</v>
      </c>
      <c r="F109" t="str">
        <v>P</v>
      </c>
      <c r="G109" t="str">
        <v>GF</v>
      </c>
      <c r="H109" t="str">
        <v>GC</v>
      </c>
      <c r="I109" t="str">
        <v>DG</v>
      </c>
      <c r="J109" t="str">
        <v>Pts</v>
      </c>
    </row>
    <row r="110">
      <c r="A110">
        <f>SUMPRODUCT((J110:J113&gt;J110)*1)+SUMPRODUCT((J110:J113=J110)*(I110:I113&gt;I110))+SUMPRODUCT((J110:J113=J110)*(I110:I113=I110)*(G110:G113&gt;G110))+1</f>
      </c>
      <c r="B110" t="str">
        <v>Bélgica</v>
      </c>
      <c r="C110">
        <f>D110+E110+F110</f>
      </c>
      <c r="D110">
        <f>SUMPRODUCT(($B$102:$B$107="Bélgica")*($E$102:$E$107&gt;$F$102:$F$107)*($E$102:$E$107&lt;&gt;"")*($F$102:$F$107&lt;&gt;""))+SUMPRODUCT(($D$102:$D$107="Bélgica")*($F$102:$F$107&gt;$E$102:$E$107)*($E$102:$E$107&lt;&gt;"")*($F$102:$F$107&lt;&gt;""))</f>
      </c>
      <c r="E110">
        <f>SUMPRODUCT((($B$102:$B$107="Bélgica")+($D$102:$D$107="Bélgica"))*($E$102:$E$107=$F$102:$F$107)*($E$102:$E$107&lt;&gt;"")*($F$102:$F$107&lt;&gt;""))</f>
      </c>
      <c r="F110">
        <f>SUMPRODUCT(($B$102:$B$107="Bélgica")*($E$102:$E$107&lt;$F$102:$F$107)*($E$102:$E$107&lt;&gt;"")*($F$102:$F$107&lt;&gt;""))+SUMPRODUCT(($D$102:$D$107="Bélgica")*($F$102:$F$107&lt;$E$102:$E$107)*($E$102:$E$107&lt;&gt;"")*($F$102:$F$107&lt;&gt;""))</f>
      </c>
      <c r="G110">
        <f>SUMPRODUCT(($B$102:$B$107="Bélgica")*$E$102:$E$107*($E$102:$E$107&lt;&gt;"")*($F$102:$F$107&lt;&gt;""))+SUMPRODUCT(($D$102:$D$107="Bélgica")*$F$102:$F$107*($E$102:$E$107&lt;&gt;"")*($F$102:$F$107&lt;&gt;""))</f>
      </c>
      <c r="H110">
        <f>SUMPRODUCT(($B$102:$B$107="Bélgica")*$F$102:$F$107*($E$102:$E$107&lt;&gt;"")*($F$102:$F$107&lt;&gt;""))+SUMPRODUCT(($D$102:$D$107="Bélgica")*$E$102:$E$107*($E$102:$E$107&lt;&gt;"")*($F$102:$F$107&lt;&gt;""))</f>
      </c>
      <c r="I110">
        <f>G110-H110</f>
      </c>
      <c r="J110">
        <f>D110*3+E110</f>
      </c>
    </row>
    <row r="111">
      <c r="A111">
        <f>SUMPRODUCT((J110:J113&gt;J111)*1)+SUMPRODUCT((J110:J113=J111)*(I110:I113&gt;I111))+SUMPRODUCT((J110:J113=J111)*(I110:I113=I111)*(G110:G113&gt;G111))+1</f>
      </c>
      <c r="B111" t="str">
        <v>Egipto</v>
      </c>
      <c r="C111">
        <f>D111+E111+F111</f>
      </c>
      <c r="D111">
        <f>SUMPRODUCT(($B$102:$B$107="Egipto")*($E$102:$E$107&gt;$F$102:$F$107)*($E$102:$E$107&lt;&gt;"")*($F$102:$F$107&lt;&gt;""))+SUMPRODUCT(($D$102:$D$107="Egipto")*($F$102:$F$107&gt;$E$102:$E$107)*($E$102:$E$107&lt;&gt;"")*($F$102:$F$107&lt;&gt;""))</f>
      </c>
      <c r="E111">
        <f>SUMPRODUCT((($B$102:$B$107="Egipto")+($D$102:$D$107="Egipto"))*($E$102:$E$107=$F$102:$F$107)*($E$102:$E$107&lt;&gt;"")*($F$102:$F$107&lt;&gt;""))</f>
      </c>
      <c r="F111">
        <f>SUMPRODUCT(($B$102:$B$107="Egipto")*($E$102:$E$107&lt;$F$102:$F$107)*($E$102:$E$107&lt;&gt;"")*($F$102:$F$107&lt;&gt;""))+SUMPRODUCT(($D$102:$D$107="Egipto")*($F$102:$F$107&lt;$E$102:$E$107)*($E$102:$E$107&lt;&gt;"")*($F$102:$F$107&lt;&gt;""))</f>
      </c>
      <c r="G111">
        <f>SUMPRODUCT(($B$102:$B$107="Egipto")*$E$102:$E$107*($E$102:$E$107&lt;&gt;"")*($F$102:$F$107&lt;&gt;""))+SUMPRODUCT(($D$102:$D$107="Egipto")*$F$102:$F$107*($E$102:$E$107&lt;&gt;"")*($F$102:$F$107&lt;&gt;""))</f>
      </c>
      <c r="H111">
        <f>SUMPRODUCT(($B$102:$B$107="Egipto")*$F$102:$F$107*($E$102:$E$107&lt;&gt;"")*($F$102:$F$107&lt;&gt;""))+SUMPRODUCT(($D$102:$D$107="Egipto")*$E$102:$E$107*($E$102:$E$107&lt;&gt;"")*($F$102:$F$107&lt;&gt;""))</f>
      </c>
      <c r="I111">
        <f>G111-H111</f>
      </c>
      <c r="J111">
        <f>D111*3+E111</f>
      </c>
    </row>
    <row r="112">
      <c r="A112">
        <f>SUMPRODUCT((J110:J113&gt;J112)*1)+SUMPRODUCT((J110:J113=J112)*(I110:I113&gt;I112))+SUMPRODUCT((J110:J113=J112)*(I110:I113=I112)*(G110:G113&gt;G112))+1</f>
      </c>
      <c r="B112" t="str">
        <v>Irán</v>
      </c>
      <c r="C112">
        <f>D112+E112+F112</f>
      </c>
      <c r="D112">
        <f>SUMPRODUCT(($B$102:$B$107="Irán")*($E$102:$E$107&gt;$F$102:$F$107)*($E$102:$E$107&lt;&gt;"")*($F$102:$F$107&lt;&gt;""))+SUMPRODUCT(($D$102:$D$107="Irán")*($F$102:$F$107&gt;$E$102:$E$107)*($E$102:$E$107&lt;&gt;"")*($F$102:$F$107&lt;&gt;""))</f>
      </c>
      <c r="E112">
        <f>SUMPRODUCT((($B$102:$B$107="Irán")+($D$102:$D$107="Irán"))*($E$102:$E$107=$F$102:$F$107)*($E$102:$E$107&lt;&gt;"")*($F$102:$F$107&lt;&gt;""))</f>
      </c>
      <c r="F112">
        <f>SUMPRODUCT(($B$102:$B$107="Irán")*($E$102:$E$107&lt;$F$102:$F$107)*($E$102:$E$107&lt;&gt;"")*($F$102:$F$107&lt;&gt;""))+SUMPRODUCT(($D$102:$D$107="Irán")*($F$102:$F$107&lt;$E$102:$E$107)*($E$102:$E$107&lt;&gt;"")*($F$102:$F$107&lt;&gt;""))</f>
      </c>
      <c r="G112">
        <f>SUMPRODUCT(($B$102:$B$107="Irán")*$E$102:$E$107*($E$102:$E$107&lt;&gt;"")*($F$102:$F$107&lt;&gt;""))+SUMPRODUCT(($D$102:$D$107="Irán")*$F$102:$F$107*($E$102:$E$107&lt;&gt;"")*($F$102:$F$107&lt;&gt;""))</f>
      </c>
      <c r="H112">
        <f>SUMPRODUCT(($B$102:$B$107="Irán")*$F$102:$F$107*($E$102:$E$107&lt;&gt;"")*($F$102:$F$107&lt;&gt;""))+SUMPRODUCT(($D$102:$D$107="Irán")*$E$102:$E$107*($E$102:$E$107&lt;&gt;"")*($F$102:$F$107&lt;&gt;""))</f>
      </c>
      <c r="I112">
        <f>G112-H112</f>
      </c>
      <c r="J112">
        <f>D112*3+E112</f>
      </c>
    </row>
    <row r="113">
      <c r="A113">
        <f>SUMPRODUCT((J110:J113&gt;J113)*1)+SUMPRODUCT((J110:J113=J113)*(I110:I113&gt;I113))+SUMPRODUCT((J110:J113=J113)*(I110:I113=I113)*(G110:G113&gt;G113))+1</f>
      </c>
      <c r="B113" t="str">
        <v>Nueva Zelanda</v>
      </c>
      <c r="C113">
        <f>D113+E113+F113</f>
      </c>
      <c r="D113">
        <f>SUMPRODUCT(($B$102:$B$107="Nueva Zelanda")*($E$102:$E$107&gt;$F$102:$F$107)*($E$102:$E$107&lt;&gt;"")*($F$102:$F$107&lt;&gt;""))+SUMPRODUCT(($D$102:$D$107="Nueva Zelanda")*($F$102:$F$107&gt;$E$102:$E$107)*($E$102:$E$107&lt;&gt;"")*($F$102:$F$107&lt;&gt;""))</f>
      </c>
      <c r="E113">
        <f>SUMPRODUCT((($B$102:$B$107="Nueva Zelanda")+($D$102:$D$107="Nueva Zelanda"))*($E$102:$E$107=$F$102:$F$107)*($E$102:$E$107&lt;&gt;"")*($F$102:$F$107&lt;&gt;""))</f>
      </c>
      <c r="F113">
        <f>SUMPRODUCT(($B$102:$B$107="Nueva Zelanda")*($E$102:$E$107&lt;$F$102:$F$107)*($E$102:$E$107&lt;&gt;"")*($F$102:$F$107&lt;&gt;""))+SUMPRODUCT(($D$102:$D$107="Nueva Zelanda")*($F$102:$F$107&lt;$E$102:$E$107)*($E$102:$E$107&lt;&gt;"")*($F$102:$F$107&lt;&gt;""))</f>
      </c>
      <c r="G113">
        <f>SUMPRODUCT(($B$102:$B$107="Nueva Zelanda")*$E$102:$E$107*($E$102:$E$107&lt;&gt;"")*($F$102:$F$107&lt;&gt;""))+SUMPRODUCT(($D$102:$D$107="Nueva Zelanda")*$F$102:$F$107*($E$102:$E$107&lt;&gt;"")*($F$102:$F$107&lt;&gt;""))</f>
      </c>
      <c r="H113">
        <f>SUMPRODUCT(($B$102:$B$107="Nueva Zelanda")*$F$102:$F$107*($E$102:$E$107&lt;&gt;"")*($F$102:$F$107&lt;&gt;""))+SUMPRODUCT(($D$102:$D$107="Nueva Zelanda")*$E$102:$E$107*($E$102:$E$107&lt;&gt;"")*($F$102:$F$107&lt;&gt;""))</f>
      </c>
      <c r="I113">
        <f>G113-H113</f>
      </c>
      <c r="J113">
        <f>D113*3+E113</f>
      </c>
    </row>
    <row r="116">
      <c r="A116" t="str">
        <v>GRUPO H: España · Cabo Verde · Arabia Saudí · Uruguay</v>
      </c>
    </row>
    <row r="117">
      <c r="A117" t="str">
        <v>#</v>
      </c>
      <c r="B117" t="str">
        <v>Local</v>
      </c>
      <c r="C117" t="str">
        <v>vs</v>
      </c>
      <c r="D117" t="str">
        <v>Visitante</v>
      </c>
      <c r="E117" t="str">
        <v>GL</v>
      </c>
      <c r="F117" t="str">
        <v>GV</v>
      </c>
    </row>
    <row r="118">
      <c r="A118">
        <v>1</v>
      </c>
      <c r="B118" t="str">
        <v>España</v>
      </c>
      <c r="C118" t="str">
        <v>vs</v>
      </c>
      <c r="D118" t="str">
        <v>Cabo Verde</v>
      </c>
      <c r="E118" t="str">
        <v/>
      </c>
      <c r="F118" t="str">
        <v/>
      </c>
    </row>
    <row r="119">
      <c r="A119">
        <v>2</v>
      </c>
      <c r="B119" t="str">
        <v>España</v>
      </c>
      <c r="C119" t="str">
        <v>vs</v>
      </c>
      <c r="D119" t="str">
        <v>Arabia Saudí</v>
      </c>
      <c r="E119" t="str">
        <v/>
      </c>
      <c r="F119" t="str">
        <v/>
      </c>
    </row>
    <row r="120">
      <c r="A120">
        <v>3</v>
      </c>
      <c r="B120" t="str">
        <v>España</v>
      </c>
      <c r="C120" t="str">
        <v>vs</v>
      </c>
      <c r="D120" t="str">
        <v>Uruguay</v>
      </c>
      <c r="E120" t="str">
        <v/>
      </c>
      <c r="F120" t="str">
        <v/>
      </c>
    </row>
    <row r="121">
      <c r="A121">
        <v>4</v>
      </c>
      <c r="B121" t="str">
        <v>Cabo Verde</v>
      </c>
      <c r="C121" t="str">
        <v>vs</v>
      </c>
      <c r="D121" t="str">
        <v>Arabia Saudí</v>
      </c>
      <c r="E121" t="str">
        <v/>
      </c>
      <c r="F121" t="str">
        <v/>
      </c>
    </row>
    <row r="122">
      <c r="A122">
        <v>5</v>
      </c>
      <c r="B122" t="str">
        <v>Cabo Verde</v>
      </c>
      <c r="C122" t="str">
        <v>vs</v>
      </c>
      <c r="D122" t="str">
        <v>Uruguay</v>
      </c>
      <c r="E122" t="str">
        <v/>
      </c>
      <c r="F122" t="str">
        <v/>
      </c>
    </row>
    <row r="123">
      <c r="A123">
        <v>6</v>
      </c>
      <c r="B123" t="str">
        <v>Arabia Saudí</v>
      </c>
      <c r="C123" t="str">
        <v>vs</v>
      </c>
      <c r="D123" t="str">
        <v>Uruguay</v>
      </c>
      <c r="E123" t="str">
        <v/>
      </c>
      <c r="F123" t="str">
        <v/>
      </c>
    </row>
    <row r="125">
      <c r="A125" t="str">
        <v>Pos</v>
      </c>
      <c r="B125" t="str">
        <v>Equipo</v>
      </c>
      <c r="C125" t="str">
        <v>PJ</v>
      </c>
      <c r="D125" t="str">
        <v>G</v>
      </c>
      <c r="E125" t="str">
        <v>E</v>
      </c>
      <c r="F125" t="str">
        <v>P</v>
      </c>
      <c r="G125" t="str">
        <v>GF</v>
      </c>
      <c r="H125" t="str">
        <v>GC</v>
      </c>
      <c r="I125" t="str">
        <v>DG</v>
      </c>
      <c r="J125" t="str">
        <v>Pts</v>
      </c>
    </row>
    <row r="126">
      <c r="A126">
        <f>SUMPRODUCT((J126:J129&gt;J126)*1)+SUMPRODUCT((J126:J129=J126)*(I126:I129&gt;I126))+SUMPRODUCT((J126:J129=J126)*(I126:I129=I126)*(G126:G129&gt;G126))+1</f>
      </c>
      <c r="B126" t="str">
        <v>España</v>
      </c>
      <c r="C126">
        <f>D126+E126+F126</f>
      </c>
      <c r="D126">
        <f>SUMPRODUCT(($B$118:$B$123="España")*($E$118:$E$123&gt;$F$118:$F$123)*($E$118:$E$123&lt;&gt;"")*($F$118:$F$123&lt;&gt;""))+SUMPRODUCT(($D$118:$D$123="España")*($F$118:$F$123&gt;$E$118:$E$123)*($E$118:$E$123&lt;&gt;"")*($F$118:$F$123&lt;&gt;""))</f>
      </c>
      <c r="E126">
        <f>SUMPRODUCT((($B$118:$B$123="España")+($D$118:$D$123="España"))*($E$118:$E$123=$F$118:$F$123)*($E$118:$E$123&lt;&gt;"")*($F$118:$F$123&lt;&gt;""))</f>
      </c>
      <c r="F126">
        <f>SUMPRODUCT(($B$118:$B$123="España")*($E$118:$E$123&lt;$F$118:$F$123)*($E$118:$E$123&lt;&gt;"")*($F$118:$F$123&lt;&gt;""))+SUMPRODUCT(($D$118:$D$123="España")*($F$118:$F$123&lt;$E$118:$E$123)*($E$118:$E$123&lt;&gt;"")*($F$118:$F$123&lt;&gt;""))</f>
      </c>
      <c r="G126">
        <f>SUMPRODUCT(($B$118:$B$123="España")*$E$118:$E$123*($E$118:$E$123&lt;&gt;"")*($F$118:$F$123&lt;&gt;""))+SUMPRODUCT(($D$118:$D$123="España")*$F$118:$F$123*($E$118:$E$123&lt;&gt;"")*($F$118:$F$123&lt;&gt;""))</f>
      </c>
      <c r="H126">
        <f>SUMPRODUCT(($B$118:$B$123="España")*$F$118:$F$123*($E$118:$E$123&lt;&gt;"")*($F$118:$F$123&lt;&gt;""))+SUMPRODUCT(($D$118:$D$123="España")*$E$118:$E$123*($E$118:$E$123&lt;&gt;"")*($F$118:$F$123&lt;&gt;""))</f>
      </c>
      <c r="I126">
        <f>G126-H126</f>
      </c>
      <c r="J126">
        <f>D126*3+E126</f>
      </c>
    </row>
    <row r="127">
      <c r="A127">
        <f>SUMPRODUCT((J126:J129&gt;J127)*1)+SUMPRODUCT((J126:J129=J127)*(I126:I129&gt;I127))+SUMPRODUCT((J126:J129=J127)*(I126:I129=I127)*(G126:G129&gt;G127))+1</f>
      </c>
      <c r="B127" t="str">
        <v>Cabo Verde</v>
      </c>
      <c r="C127">
        <f>D127+E127+F127</f>
      </c>
      <c r="D127">
        <f>SUMPRODUCT(($B$118:$B$123="Cabo Verde")*($E$118:$E$123&gt;$F$118:$F$123)*($E$118:$E$123&lt;&gt;"")*($F$118:$F$123&lt;&gt;""))+SUMPRODUCT(($D$118:$D$123="Cabo Verde")*($F$118:$F$123&gt;$E$118:$E$123)*($E$118:$E$123&lt;&gt;"")*($F$118:$F$123&lt;&gt;""))</f>
      </c>
      <c r="E127">
        <f>SUMPRODUCT((($B$118:$B$123="Cabo Verde")+($D$118:$D$123="Cabo Verde"))*($E$118:$E$123=$F$118:$F$123)*($E$118:$E$123&lt;&gt;"")*($F$118:$F$123&lt;&gt;""))</f>
      </c>
      <c r="F127">
        <f>SUMPRODUCT(($B$118:$B$123="Cabo Verde")*($E$118:$E$123&lt;$F$118:$F$123)*($E$118:$E$123&lt;&gt;"")*($F$118:$F$123&lt;&gt;""))+SUMPRODUCT(($D$118:$D$123="Cabo Verde")*($F$118:$F$123&lt;$E$118:$E$123)*($E$118:$E$123&lt;&gt;"")*($F$118:$F$123&lt;&gt;""))</f>
      </c>
      <c r="G127">
        <f>SUMPRODUCT(($B$118:$B$123="Cabo Verde")*$E$118:$E$123*($E$118:$E$123&lt;&gt;"")*($F$118:$F$123&lt;&gt;""))+SUMPRODUCT(($D$118:$D$123="Cabo Verde")*$F$118:$F$123*($E$118:$E$123&lt;&gt;"")*($F$118:$F$123&lt;&gt;""))</f>
      </c>
      <c r="H127">
        <f>SUMPRODUCT(($B$118:$B$123="Cabo Verde")*$F$118:$F$123*($E$118:$E$123&lt;&gt;"")*($F$118:$F$123&lt;&gt;""))+SUMPRODUCT(($D$118:$D$123="Cabo Verde")*$E$118:$E$123*($E$118:$E$123&lt;&gt;"")*($F$118:$F$123&lt;&gt;""))</f>
      </c>
      <c r="I127">
        <f>G127-H127</f>
      </c>
      <c r="J127">
        <f>D127*3+E127</f>
      </c>
    </row>
    <row r="128">
      <c r="A128">
        <f>SUMPRODUCT((J126:J129&gt;J128)*1)+SUMPRODUCT((J126:J129=J128)*(I126:I129&gt;I128))+SUMPRODUCT((J126:J129=J128)*(I126:I129=I128)*(G126:G129&gt;G128))+1</f>
      </c>
      <c r="B128" t="str">
        <v>Arabia Saudí</v>
      </c>
      <c r="C128">
        <f>D128+E128+F128</f>
      </c>
      <c r="D128">
        <f>SUMPRODUCT(($B$118:$B$123="Arabia Saudí")*($E$118:$E$123&gt;$F$118:$F$123)*($E$118:$E$123&lt;&gt;"")*($F$118:$F$123&lt;&gt;""))+SUMPRODUCT(($D$118:$D$123="Arabia Saudí")*($F$118:$F$123&gt;$E$118:$E$123)*($E$118:$E$123&lt;&gt;"")*($F$118:$F$123&lt;&gt;""))</f>
      </c>
      <c r="E128">
        <f>SUMPRODUCT((($B$118:$B$123="Arabia Saudí")+($D$118:$D$123="Arabia Saudí"))*($E$118:$E$123=$F$118:$F$123)*($E$118:$E$123&lt;&gt;"")*($F$118:$F$123&lt;&gt;""))</f>
      </c>
      <c r="F128">
        <f>SUMPRODUCT(($B$118:$B$123="Arabia Saudí")*($E$118:$E$123&lt;$F$118:$F$123)*($E$118:$E$123&lt;&gt;"")*($F$118:$F$123&lt;&gt;""))+SUMPRODUCT(($D$118:$D$123="Arabia Saudí")*($F$118:$F$123&lt;$E$118:$E$123)*($E$118:$E$123&lt;&gt;"")*($F$118:$F$123&lt;&gt;""))</f>
      </c>
      <c r="G128">
        <f>SUMPRODUCT(($B$118:$B$123="Arabia Saudí")*$E$118:$E$123*($E$118:$E$123&lt;&gt;"")*($F$118:$F$123&lt;&gt;""))+SUMPRODUCT(($D$118:$D$123="Arabia Saudí")*$F$118:$F$123*($E$118:$E$123&lt;&gt;"")*($F$118:$F$123&lt;&gt;""))</f>
      </c>
      <c r="H128">
        <f>SUMPRODUCT(($B$118:$B$123="Arabia Saudí")*$F$118:$F$123*($E$118:$E$123&lt;&gt;"")*($F$118:$F$123&lt;&gt;""))+SUMPRODUCT(($D$118:$D$123="Arabia Saudí")*$E$118:$E$123*($E$118:$E$123&lt;&gt;"")*($F$118:$F$123&lt;&gt;""))</f>
      </c>
      <c r="I128">
        <f>G128-H128</f>
      </c>
      <c r="J128">
        <f>D128*3+E128</f>
      </c>
    </row>
    <row r="129">
      <c r="A129">
        <f>SUMPRODUCT((J126:J129&gt;J129)*1)+SUMPRODUCT((J126:J129=J129)*(I126:I129&gt;I129))+SUMPRODUCT((J126:J129=J129)*(I126:I129=I129)*(G126:G129&gt;G129))+1</f>
      </c>
      <c r="B129" t="str">
        <v>Uruguay</v>
      </c>
      <c r="C129">
        <f>D129+E129+F129</f>
      </c>
      <c r="D129">
        <f>SUMPRODUCT(($B$118:$B$123="Uruguay")*($E$118:$E$123&gt;$F$118:$F$123)*($E$118:$E$123&lt;&gt;"")*($F$118:$F$123&lt;&gt;""))+SUMPRODUCT(($D$118:$D$123="Uruguay")*($F$118:$F$123&gt;$E$118:$E$123)*($E$118:$E$123&lt;&gt;"")*($F$118:$F$123&lt;&gt;""))</f>
      </c>
      <c r="E129">
        <f>SUMPRODUCT((($B$118:$B$123="Uruguay")+($D$118:$D$123="Uruguay"))*($E$118:$E$123=$F$118:$F$123)*($E$118:$E$123&lt;&gt;"")*($F$118:$F$123&lt;&gt;""))</f>
      </c>
      <c r="F129">
        <f>SUMPRODUCT(($B$118:$B$123="Uruguay")*($E$118:$E$123&lt;$F$118:$F$123)*($E$118:$E$123&lt;&gt;"")*($F$118:$F$123&lt;&gt;""))+SUMPRODUCT(($D$118:$D$123="Uruguay")*($F$118:$F$123&lt;$E$118:$E$123)*($E$118:$E$123&lt;&gt;"")*($F$118:$F$123&lt;&gt;""))</f>
      </c>
      <c r="G129">
        <f>SUMPRODUCT(($B$118:$B$123="Uruguay")*$E$118:$E$123*($E$118:$E$123&lt;&gt;"")*($F$118:$F$123&lt;&gt;""))+SUMPRODUCT(($D$118:$D$123="Uruguay")*$F$118:$F$123*($E$118:$E$123&lt;&gt;"")*($F$118:$F$123&lt;&gt;""))</f>
      </c>
      <c r="H129">
        <f>SUMPRODUCT(($B$118:$B$123="Uruguay")*$F$118:$F$123*($E$118:$E$123&lt;&gt;"")*($F$118:$F$123&lt;&gt;""))+SUMPRODUCT(($D$118:$D$123="Uruguay")*$E$118:$E$123*($E$118:$E$123&lt;&gt;"")*($F$118:$F$123&lt;&gt;""))</f>
      </c>
      <c r="I129">
        <f>G129-H129</f>
      </c>
      <c r="J129">
        <f>D129*3+E129</f>
      </c>
    </row>
    <row r="132">
      <c r="A132" t="str">
        <v>GRUPO I: Francia · Senegal · Iraq · Noruega</v>
      </c>
    </row>
    <row r="133">
      <c r="A133" t="str">
        <v>#</v>
      </c>
      <c r="B133" t="str">
        <v>Local</v>
      </c>
      <c r="C133" t="str">
        <v>vs</v>
      </c>
      <c r="D133" t="str">
        <v>Visitante</v>
      </c>
      <c r="E133" t="str">
        <v>GL</v>
      </c>
      <c r="F133" t="str">
        <v>GV</v>
      </c>
    </row>
    <row r="134">
      <c r="A134">
        <v>1</v>
      </c>
      <c r="B134" t="str">
        <v>Francia</v>
      </c>
      <c r="C134" t="str">
        <v>vs</v>
      </c>
      <c r="D134" t="str">
        <v>Senegal</v>
      </c>
      <c r="E134" t="str">
        <v/>
      </c>
      <c r="F134" t="str">
        <v/>
      </c>
    </row>
    <row r="135">
      <c r="A135">
        <v>2</v>
      </c>
      <c r="B135" t="str">
        <v>Francia</v>
      </c>
      <c r="C135" t="str">
        <v>vs</v>
      </c>
      <c r="D135" t="str">
        <v>Iraq</v>
      </c>
      <c r="E135" t="str">
        <v/>
      </c>
      <c r="F135" t="str">
        <v/>
      </c>
    </row>
    <row r="136">
      <c r="A136">
        <v>3</v>
      </c>
      <c r="B136" t="str">
        <v>Francia</v>
      </c>
      <c r="C136" t="str">
        <v>vs</v>
      </c>
      <c r="D136" t="str">
        <v>Noruega</v>
      </c>
      <c r="E136" t="str">
        <v/>
      </c>
      <c r="F136" t="str">
        <v/>
      </c>
    </row>
    <row r="137">
      <c r="A137">
        <v>4</v>
      </c>
      <c r="B137" t="str">
        <v>Senegal</v>
      </c>
      <c r="C137" t="str">
        <v>vs</v>
      </c>
      <c r="D137" t="str">
        <v>Iraq</v>
      </c>
      <c r="E137" t="str">
        <v/>
      </c>
      <c r="F137" t="str">
        <v/>
      </c>
    </row>
    <row r="138">
      <c r="A138">
        <v>5</v>
      </c>
      <c r="B138" t="str">
        <v>Senegal</v>
      </c>
      <c r="C138" t="str">
        <v>vs</v>
      </c>
      <c r="D138" t="str">
        <v>Noruega</v>
      </c>
      <c r="E138" t="str">
        <v/>
      </c>
      <c r="F138" t="str">
        <v/>
      </c>
    </row>
    <row r="139">
      <c r="A139">
        <v>6</v>
      </c>
      <c r="B139" t="str">
        <v>Iraq</v>
      </c>
      <c r="C139" t="str">
        <v>vs</v>
      </c>
      <c r="D139" t="str">
        <v>Noruega</v>
      </c>
      <c r="E139" t="str">
        <v/>
      </c>
      <c r="F139" t="str">
        <v/>
      </c>
    </row>
    <row r="141">
      <c r="A141" t="str">
        <v>Pos</v>
      </c>
      <c r="B141" t="str">
        <v>Equipo</v>
      </c>
      <c r="C141" t="str">
        <v>PJ</v>
      </c>
      <c r="D141" t="str">
        <v>G</v>
      </c>
      <c r="E141" t="str">
        <v>E</v>
      </c>
      <c r="F141" t="str">
        <v>P</v>
      </c>
      <c r="G141" t="str">
        <v>GF</v>
      </c>
      <c r="H141" t="str">
        <v>GC</v>
      </c>
      <c r="I141" t="str">
        <v>DG</v>
      </c>
      <c r="J141" t="str">
        <v>Pts</v>
      </c>
    </row>
    <row r="142">
      <c r="A142">
        <f>SUMPRODUCT((J142:J145&gt;J142)*1)+SUMPRODUCT((J142:J145=J142)*(I142:I145&gt;I142))+SUMPRODUCT((J142:J145=J142)*(I142:I145=I142)*(G142:G145&gt;G142))+1</f>
      </c>
      <c r="B142" t="str">
        <v>Francia</v>
      </c>
      <c r="C142">
        <f>D142+E142+F142</f>
      </c>
      <c r="D142">
        <f>SUMPRODUCT(($B$134:$B$139="Francia")*($E$134:$E$139&gt;$F$134:$F$139)*($E$134:$E$139&lt;&gt;"")*($F$134:$F$139&lt;&gt;""))+SUMPRODUCT(($D$134:$D$139="Francia")*($F$134:$F$139&gt;$E$134:$E$139)*($E$134:$E$139&lt;&gt;"")*($F$134:$F$139&lt;&gt;""))</f>
      </c>
      <c r="E142">
        <f>SUMPRODUCT((($B$134:$B$139="Francia")+($D$134:$D$139="Francia"))*($E$134:$E$139=$F$134:$F$139)*($E$134:$E$139&lt;&gt;"")*($F$134:$F$139&lt;&gt;""))</f>
      </c>
      <c r="F142">
        <f>SUMPRODUCT(($B$134:$B$139="Francia")*($E$134:$E$139&lt;$F$134:$F$139)*($E$134:$E$139&lt;&gt;"")*($F$134:$F$139&lt;&gt;""))+SUMPRODUCT(($D$134:$D$139="Francia")*($F$134:$F$139&lt;$E$134:$E$139)*($E$134:$E$139&lt;&gt;"")*($F$134:$F$139&lt;&gt;""))</f>
      </c>
      <c r="G142">
        <f>SUMPRODUCT(($B$134:$B$139="Francia")*$E$134:$E$139*($E$134:$E$139&lt;&gt;"")*($F$134:$F$139&lt;&gt;""))+SUMPRODUCT(($D$134:$D$139="Francia")*$F$134:$F$139*($E$134:$E$139&lt;&gt;"")*($F$134:$F$139&lt;&gt;""))</f>
      </c>
      <c r="H142">
        <f>SUMPRODUCT(($B$134:$B$139="Francia")*$F$134:$F$139*($E$134:$E$139&lt;&gt;"")*($F$134:$F$139&lt;&gt;""))+SUMPRODUCT(($D$134:$D$139="Francia")*$E$134:$E$139*($E$134:$E$139&lt;&gt;"")*($F$134:$F$139&lt;&gt;""))</f>
      </c>
      <c r="I142">
        <f>G142-H142</f>
      </c>
      <c r="J142">
        <f>D142*3+E142</f>
      </c>
    </row>
    <row r="143">
      <c r="A143">
        <f>SUMPRODUCT((J142:J145&gt;J143)*1)+SUMPRODUCT((J142:J145=J143)*(I142:I145&gt;I143))+SUMPRODUCT((J142:J145=J143)*(I142:I145=I143)*(G142:G145&gt;G143))+1</f>
      </c>
      <c r="B143" t="str">
        <v>Senegal</v>
      </c>
      <c r="C143">
        <f>D143+E143+F143</f>
      </c>
      <c r="D143">
        <f>SUMPRODUCT(($B$134:$B$139="Senegal")*($E$134:$E$139&gt;$F$134:$F$139)*($E$134:$E$139&lt;&gt;"")*($F$134:$F$139&lt;&gt;""))+SUMPRODUCT(($D$134:$D$139="Senegal")*($F$134:$F$139&gt;$E$134:$E$139)*($E$134:$E$139&lt;&gt;"")*($F$134:$F$139&lt;&gt;""))</f>
      </c>
      <c r="E143">
        <f>SUMPRODUCT((($B$134:$B$139="Senegal")+($D$134:$D$139="Senegal"))*($E$134:$E$139=$F$134:$F$139)*($E$134:$E$139&lt;&gt;"")*($F$134:$F$139&lt;&gt;""))</f>
      </c>
      <c r="F143">
        <f>SUMPRODUCT(($B$134:$B$139="Senegal")*($E$134:$E$139&lt;$F$134:$F$139)*($E$134:$E$139&lt;&gt;"")*($F$134:$F$139&lt;&gt;""))+SUMPRODUCT(($D$134:$D$139="Senegal")*($F$134:$F$139&lt;$E$134:$E$139)*($E$134:$E$139&lt;&gt;"")*($F$134:$F$139&lt;&gt;""))</f>
      </c>
      <c r="G143">
        <f>SUMPRODUCT(($B$134:$B$139="Senegal")*$E$134:$E$139*($E$134:$E$139&lt;&gt;"")*($F$134:$F$139&lt;&gt;""))+SUMPRODUCT(($D$134:$D$139="Senegal")*$F$134:$F$139*($E$134:$E$139&lt;&gt;"")*($F$134:$F$139&lt;&gt;""))</f>
      </c>
      <c r="H143">
        <f>SUMPRODUCT(($B$134:$B$139="Senegal")*$F$134:$F$139*($E$134:$E$139&lt;&gt;"")*($F$134:$F$139&lt;&gt;""))+SUMPRODUCT(($D$134:$D$139="Senegal")*$E$134:$E$139*($E$134:$E$139&lt;&gt;"")*($F$134:$F$139&lt;&gt;""))</f>
      </c>
      <c r="I143">
        <f>G143-H143</f>
      </c>
      <c r="J143">
        <f>D143*3+E143</f>
      </c>
    </row>
    <row r="144">
      <c r="A144">
        <f>SUMPRODUCT((J142:J145&gt;J144)*1)+SUMPRODUCT((J142:J145=J144)*(I142:I145&gt;I144))+SUMPRODUCT((J142:J145=J144)*(I142:I145=I144)*(G142:G145&gt;G144))+1</f>
      </c>
      <c r="B144" t="str">
        <v>Iraq</v>
      </c>
      <c r="C144">
        <f>D144+E144+F144</f>
      </c>
      <c r="D144">
        <f>SUMPRODUCT(($B$134:$B$139="Iraq")*($E$134:$E$139&gt;$F$134:$F$139)*($E$134:$E$139&lt;&gt;"")*($F$134:$F$139&lt;&gt;""))+SUMPRODUCT(($D$134:$D$139="Iraq")*($F$134:$F$139&gt;$E$134:$E$139)*($E$134:$E$139&lt;&gt;"")*($F$134:$F$139&lt;&gt;""))</f>
      </c>
      <c r="E144">
        <f>SUMPRODUCT((($B$134:$B$139="Iraq")+($D$134:$D$139="Iraq"))*($E$134:$E$139=$F$134:$F$139)*($E$134:$E$139&lt;&gt;"")*($F$134:$F$139&lt;&gt;""))</f>
      </c>
      <c r="F144">
        <f>SUMPRODUCT(($B$134:$B$139="Iraq")*($E$134:$E$139&lt;$F$134:$F$139)*($E$134:$E$139&lt;&gt;"")*($F$134:$F$139&lt;&gt;""))+SUMPRODUCT(($D$134:$D$139="Iraq")*($F$134:$F$139&lt;$E$134:$E$139)*($E$134:$E$139&lt;&gt;"")*($F$134:$F$139&lt;&gt;""))</f>
      </c>
      <c r="G144">
        <f>SUMPRODUCT(($B$134:$B$139="Iraq")*$E$134:$E$139*($E$134:$E$139&lt;&gt;"")*($F$134:$F$139&lt;&gt;""))+SUMPRODUCT(($D$134:$D$139="Iraq")*$F$134:$F$139*($E$134:$E$139&lt;&gt;"")*($F$134:$F$139&lt;&gt;""))</f>
      </c>
      <c r="H144">
        <f>SUMPRODUCT(($B$134:$B$139="Iraq")*$F$134:$F$139*($E$134:$E$139&lt;&gt;"")*($F$134:$F$139&lt;&gt;""))+SUMPRODUCT(($D$134:$D$139="Iraq")*$E$134:$E$139*($E$134:$E$139&lt;&gt;"")*($F$134:$F$139&lt;&gt;""))</f>
      </c>
      <c r="I144">
        <f>G144-H144</f>
      </c>
      <c r="J144">
        <f>D144*3+E144</f>
      </c>
    </row>
    <row r="145">
      <c r="A145">
        <f>SUMPRODUCT((J142:J145&gt;J145)*1)+SUMPRODUCT((J142:J145=J145)*(I142:I145&gt;I145))+SUMPRODUCT((J142:J145=J145)*(I142:I145=I145)*(G142:G145&gt;G145))+1</f>
      </c>
      <c r="B145" t="str">
        <v>Noruega</v>
      </c>
      <c r="C145">
        <f>D145+E145+F145</f>
      </c>
      <c r="D145">
        <f>SUMPRODUCT(($B$134:$B$139="Noruega")*($E$134:$E$139&gt;$F$134:$F$139)*($E$134:$E$139&lt;&gt;"")*($F$134:$F$139&lt;&gt;""))+SUMPRODUCT(($D$134:$D$139="Noruega")*($F$134:$F$139&gt;$E$134:$E$139)*($E$134:$E$139&lt;&gt;"")*($F$134:$F$139&lt;&gt;""))</f>
      </c>
      <c r="E145">
        <f>SUMPRODUCT((($B$134:$B$139="Noruega")+($D$134:$D$139="Noruega"))*($E$134:$E$139=$F$134:$F$139)*($E$134:$E$139&lt;&gt;"")*($F$134:$F$139&lt;&gt;""))</f>
      </c>
      <c r="F145">
        <f>SUMPRODUCT(($B$134:$B$139="Noruega")*($E$134:$E$139&lt;$F$134:$F$139)*($E$134:$E$139&lt;&gt;"")*($F$134:$F$139&lt;&gt;""))+SUMPRODUCT(($D$134:$D$139="Noruega")*($F$134:$F$139&lt;$E$134:$E$139)*($E$134:$E$139&lt;&gt;"")*($F$134:$F$139&lt;&gt;""))</f>
      </c>
      <c r="G145">
        <f>SUMPRODUCT(($B$134:$B$139="Noruega")*$E$134:$E$139*($E$134:$E$139&lt;&gt;"")*($F$134:$F$139&lt;&gt;""))+SUMPRODUCT(($D$134:$D$139="Noruega")*$F$134:$F$139*($E$134:$E$139&lt;&gt;"")*($F$134:$F$139&lt;&gt;""))</f>
      </c>
      <c r="H145">
        <f>SUMPRODUCT(($B$134:$B$139="Noruega")*$F$134:$F$139*($E$134:$E$139&lt;&gt;"")*($F$134:$F$139&lt;&gt;""))+SUMPRODUCT(($D$134:$D$139="Noruega")*$E$134:$E$139*($E$134:$E$139&lt;&gt;"")*($F$134:$F$139&lt;&gt;""))</f>
      </c>
      <c r="I145">
        <f>G145-H145</f>
      </c>
      <c r="J145">
        <f>D145*3+E145</f>
      </c>
    </row>
    <row r="148">
      <c r="A148" t="str">
        <v>GRUPO J: Argentina · Argelia · Austria · Jordania</v>
      </c>
    </row>
    <row r="149">
      <c r="A149" t="str">
        <v>#</v>
      </c>
      <c r="B149" t="str">
        <v>Local</v>
      </c>
      <c r="C149" t="str">
        <v>vs</v>
      </c>
      <c r="D149" t="str">
        <v>Visitante</v>
      </c>
      <c r="E149" t="str">
        <v>GL</v>
      </c>
      <c r="F149" t="str">
        <v>GV</v>
      </c>
    </row>
    <row r="150">
      <c r="A150">
        <v>1</v>
      </c>
      <c r="B150" t="str">
        <v>Argentina</v>
      </c>
      <c r="C150" t="str">
        <v>vs</v>
      </c>
      <c r="D150" t="str">
        <v>Argelia</v>
      </c>
      <c r="E150" t="str">
        <v/>
      </c>
      <c r="F150" t="str">
        <v/>
      </c>
    </row>
    <row r="151">
      <c r="A151">
        <v>2</v>
      </c>
      <c r="B151" t="str">
        <v>Argentina</v>
      </c>
      <c r="C151" t="str">
        <v>vs</v>
      </c>
      <c r="D151" t="str">
        <v>Austria</v>
      </c>
      <c r="E151" t="str">
        <v/>
      </c>
      <c r="F151" t="str">
        <v/>
      </c>
    </row>
    <row r="152">
      <c r="A152">
        <v>3</v>
      </c>
      <c r="B152" t="str">
        <v>Argentina</v>
      </c>
      <c r="C152" t="str">
        <v>vs</v>
      </c>
      <c r="D152" t="str">
        <v>Jordania</v>
      </c>
      <c r="E152" t="str">
        <v/>
      </c>
      <c r="F152" t="str">
        <v/>
      </c>
    </row>
    <row r="153">
      <c r="A153">
        <v>4</v>
      </c>
      <c r="B153" t="str">
        <v>Argelia</v>
      </c>
      <c r="C153" t="str">
        <v>vs</v>
      </c>
      <c r="D153" t="str">
        <v>Austria</v>
      </c>
      <c r="E153" t="str">
        <v/>
      </c>
      <c r="F153" t="str">
        <v/>
      </c>
    </row>
    <row r="154">
      <c r="A154">
        <v>5</v>
      </c>
      <c r="B154" t="str">
        <v>Argelia</v>
      </c>
      <c r="C154" t="str">
        <v>vs</v>
      </c>
      <c r="D154" t="str">
        <v>Jordania</v>
      </c>
      <c r="E154" t="str">
        <v/>
      </c>
      <c r="F154" t="str">
        <v/>
      </c>
    </row>
    <row r="155">
      <c r="A155">
        <v>6</v>
      </c>
      <c r="B155" t="str">
        <v>Austria</v>
      </c>
      <c r="C155" t="str">
        <v>vs</v>
      </c>
      <c r="D155" t="str">
        <v>Jordania</v>
      </c>
      <c r="E155" t="str">
        <v/>
      </c>
      <c r="F155" t="str">
        <v/>
      </c>
    </row>
    <row r="157">
      <c r="A157" t="str">
        <v>Pos</v>
      </c>
      <c r="B157" t="str">
        <v>Equipo</v>
      </c>
      <c r="C157" t="str">
        <v>PJ</v>
      </c>
      <c r="D157" t="str">
        <v>G</v>
      </c>
      <c r="E157" t="str">
        <v>E</v>
      </c>
      <c r="F157" t="str">
        <v>P</v>
      </c>
      <c r="G157" t="str">
        <v>GF</v>
      </c>
      <c r="H157" t="str">
        <v>GC</v>
      </c>
      <c r="I157" t="str">
        <v>DG</v>
      </c>
      <c r="J157" t="str">
        <v>Pts</v>
      </c>
    </row>
    <row r="158">
      <c r="A158">
        <f>SUMPRODUCT((J158:J161&gt;J158)*1)+SUMPRODUCT((J158:J161=J158)*(I158:I161&gt;I158))+SUMPRODUCT((J158:J161=J158)*(I158:I161=I158)*(G158:G161&gt;G158))+1</f>
      </c>
      <c r="B158" t="str">
        <v>Argentina</v>
      </c>
      <c r="C158">
        <f>D158+E158+F158</f>
      </c>
      <c r="D158">
        <f>SUMPRODUCT(($B$150:$B$155="Argentina")*($E$150:$E$155&gt;$F$150:$F$155)*($E$150:$E$155&lt;&gt;"")*($F$150:$F$155&lt;&gt;""))+SUMPRODUCT(($D$150:$D$155="Argentina")*($F$150:$F$155&gt;$E$150:$E$155)*($E$150:$E$155&lt;&gt;"")*($F$150:$F$155&lt;&gt;""))</f>
      </c>
      <c r="E158">
        <f>SUMPRODUCT((($B$150:$B$155="Argentina")+($D$150:$D$155="Argentina"))*($E$150:$E$155=$F$150:$F$155)*($E$150:$E$155&lt;&gt;"")*($F$150:$F$155&lt;&gt;""))</f>
      </c>
      <c r="F158">
        <f>SUMPRODUCT(($B$150:$B$155="Argentina")*($E$150:$E$155&lt;$F$150:$F$155)*($E$150:$E$155&lt;&gt;"")*($F$150:$F$155&lt;&gt;""))+SUMPRODUCT(($D$150:$D$155="Argentina")*($F$150:$F$155&lt;$E$150:$E$155)*($E$150:$E$155&lt;&gt;"")*($F$150:$F$155&lt;&gt;""))</f>
      </c>
      <c r="G158">
        <f>SUMPRODUCT(($B$150:$B$155="Argentina")*$E$150:$E$155*($E$150:$E$155&lt;&gt;"")*($F$150:$F$155&lt;&gt;""))+SUMPRODUCT(($D$150:$D$155="Argentina")*$F$150:$F$155*($E$150:$E$155&lt;&gt;"")*($F$150:$F$155&lt;&gt;""))</f>
      </c>
      <c r="H158">
        <f>SUMPRODUCT(($B$150:$B$155="Argentina")*$F$150:$F$155*($E$150:$E$155&lt;&gt;"")*($F$150:$F$155&lt;&gt;""))+SUMPRODUCT(($D$150:$D$155="Argentina")*$E$150:$E$155*($E$150:$E$155&lt;&gt;"")*($F$150:$F$155&lt;&gt;""))</f>
      </c>
      <c r="I158">
        <f>G158-H158</f>
      </c>
      <c r="J158">
        <f>D158*3+E158</f>
      </c>
    </row>
    <row r="159">
      <c r="A159">
        <f>SUMPRODUCT((J158:J161&gt;J159)*1)+SUMPRODUCT((J158:J161=J159)*(I158:I161&gt;I159))+SUMPRODUCT((J158:J161=J159)*(I158:I161=I159)*(G158:G161&gt;G159))+1</f>
      </c>
      <c r="B159" t="str">
        <v>Argelia</v>
      </c>
      <c r="C159">
        <f>D159+E159+F159</f>
      </c>
      <c r="D159">
        <f>SUMPRODUCT(($B$150:$B$155="Argelia")*($E$150:$E$155&gt;$F$150:$F$155)*($E$150:$E$155&lt;&gt;"")*($F$150:$F$155&lt;&gt;""))+SUMPRODUCT(($D$150:$D$155="Argelia")*($F$150:$F$155&gt;$E$150:$E$155)*($E$150:$E$155&lt;&gt;"")*($F$150:$F$155&lt;&gt;""))</f>
      </c>
      <c r="E159">
        <f>SUMPRODUCT((($B$150:$B$155="Argelia")+($D$150:$D$155="Argelia"))*($E$150:$E$155=$F$150:$F$155)*($E$150:$E$155&lt;&gt;"")*($F$150:$F$155&lt;&gt;""))</f>
      </c>
      <c r="F159">
        <f>SUMPRODUCT(($B$150:$B$155="Argelia")*($E$150:$E$155&lt;$F$150:$F$155)*($E$150:$E$155&lt;&gt;"")*($F$150:$F$155&lt;&gt;""))+SUMPRODUCT(($D$150:$D$155="Argelia")*($F$150:$F$155&lt;$E$150:$E$155)*($E$150:$E$155&lt;&gt;"")*($F$150:$F$155&lt;&gt;""))</f>
      </c>
      <c r="G159">
        <f>SUMPRODUCT(($B$150:$B$155="Argelia")*$E$150:$E$155*($E$150:$E$155&lt;&gt;"")*($F$150:$F$155&lt;&gt;""))+SUMPRODUCT(($D$150:$D$155="Argelia")*$F$150:$F$155*($E$150:$E$155&lt;&gt;"")*($F$150:$F$155&lt;&gt;""))</f>
      </c>
      <c r="H159">
        <f>SUMPRODUCT(($B$150:$B$155="Argelia")*$F$150:$F$155*($E$150:$E$155&lt;&gt;"")*($F$150:$F$155&lt;&gt;""))+SUMPRODUCT(($D$150:$D$155="Argelia")*$E$150:$E$155*($E$150:$E$155&lt;&gt;"")*($F$150:$F$155&lt;&gt;""))</f>
      </c>
      <c r="I159">
        <f>G159-H159</f>
      </c>
      <c r="J159">
        <f>D159*3+E159</f>
      </c>
    </row>
    <row r="160">
      <c r="A160">
        <f>SUMPRODUCT((J158:J161&gt;J160)*1)+SUMPRODUCT((J158:J161=J160)*(I158:I161&gt;I160))+SUMPRODUCT((J158:J161=J160)*(I158:I161=I160)*(G158:G161&gt;G160))+1</f>
      </c>
      <c r="B160" t="str">
        <v>Austria</v>
      </c>
      <c r="C160">
        <f>D160+E160+F160</f>
      </c>
      <c r="D160">
        <f>SUMPRODUCT(($B$150:$B$155="Austria")*($E$150:$E$155&gt;$F$150:$F$155)*($E$150:$E$155&lt;&gt;"")*($F$150:$F$155&lt;&gt;""))+SUMPRODUCT(($D$150:$D$155="Austria")*($F$150:$F$155&gt;$E$150:$E$155)*($E$150:$E$155&lt;&gt;"")*($F$150:$F$155&lt;&gt;""))</f>
      </c>
      <c r="E160">
        <f>SUMPRODUCT((($B$150:$B$155="Austria")+($D$150:$D$155="Austria"))*($E$150:$E$155=$F$150:$F$155)*($E$150:$E$155&lt;&gt;"")*($F$150:$F$155&lt;&gt;""))</f>
      </c>
      <c r="F160">
        <f>SUMPRODUCT(($B$150:$B$155="Austria")*($E$150:$E$155&lt;$F$150:$F$155)*($E$150:$E$155&lt;&gt;"")*($F$150:$F$155&lt;&gt;""))+SUMPRODUCT(($D$150:$D$155="Austria")*($F$150:$F$155&lt;$E$150:$E$155)*($E$150:$E$155&lt;&gt;"")*($F$150:$F$155&lt;&gt;""))</f>
      </c>
      <c r="G160">
        <f>SUMPRODUCT(($B$150:$B$155="Austria")*$E$150:$E$155*($E$150:$E$155&lt;&gt;"")*($F$150:$F$155&lt;&gt;""))+SUMPRODUCT(($D$150:$D$155="Austria")*$F$150:$F$155*($E$150:$E$155&lt;&gt;"")*($F$150:$F$155&lt;&gt;""))</f>
      </c>
      <c r="H160">
        <f>SUMPRODUCT(($B$150:$B$155="Austria")*$F$150:$F$155*($E$150:$E$155&lt;&gt;"")*($F$150:$F$155&lt;&gt;""))+SUMPRODUCT(($D$150:$D$155="Austria")*$E$150:$E$155*($E$150:$E$155&lt;&gt;"")*($F$150:$F$155&lt;&gt;""))</f>
      </c>
      <c r="I160">
        <f>G160-H160</f>
      </c>
      <c r="J160">
        <f>D160*3+E160</f>
      </c>
    </row>
    <row r="161">
      <c r="A161">
        <f>SUMPRODUCT((J158:J161&gt;J161)*1)+SUMPRODUCT((J158:J161=J161)*(I158:I161&gt;I161))+SUMPRODUCT((J158:J161=J161)*(I158:I161=I161)*(G158:G161&gt;G161))+1</f>
      </c>
      <c r="B161" t="str">
        <v>Jordania</v>
      </c>
      <c r="C161">
        <f>D161+E161+F161</f>
      </c>
      <c r="D161">
        <f>SUMPRODUCT(($B$150:$B$155="Jordania")*($E$150:$E$155&gt;$F$150:$F$155)*($E$150:$E$155&lt;&gt;"")*($F$150:$F$155&lt;&gt;""))+SUMPRODUCT(($D$150:$D$155="Jordania")*($F$150:$F$155&gt;$E$150:$E$155)*($E$150:$E$155&lt;&gt;"")*($F$150:$F$155&lt;&gt;""))</f>
      </c>
      <c r="E161">
        <f>SUMPRODUCT((($B$150:$B$155="Jordania")+($D$150:$D$155="Jordania"))*($E$150:$E$155=$F$150:$F$155)*($E$150:$E$155&lt;&gt;"")*($F$150:$F$155&lt;&gt;""))</f>
      </c>
      <c r="F161">
        <f>SUMPRODUCT(($B$150:$B$155="Jordania")*($E$150:$E$155&lt;$F$150:$F$155)*($E$150:$E$155&lt;&gt;"")*($F$150:$F$155&lt;&gt;""))+SUMPRODUCT(($D$150:$D$155="Jordania")*($F$150:$F$155&lt;$E$150:$E$155)*($E$150:$E$155&lt;&gt;"")*($F$150:$F$155&lt;&gt;""))</f>
      </c>
      <c r="G161">
        <f>SUMPRODUCT(($B$150:$B$155="Jordania")*$E$150:$E$155*($E$150:$E$155&lt;&gt;"")*($F$150:$F$155&lt;&gt;""))+SUMPRODUCT(($D$150:$D$155="Jordania")*$F$150:$F$155*($E$150:$E$155&lt;&gt;"")*($F$150:$F$155&lt;&gt;""))</f>
      </c>
      <c r="H161">
        <f>SUMPRODUCT(($B$150:$B$155="Jordania")*$F$150:$F$155*($E$150:$E$155&lt;&gt;"")*($F$150:$F$155&lt;&gt;""))+SUMPRODUCT(($D$150:$D$155="Jordania")*$E$150:$E$155*($E$150:$E$155&lt;&gt;"")*($F$150:$F$155&lt;&gt;""))</f>
      </c>
      <c r="I161">
        <f>G161-H161</f>
      </c>
      <c r="J161">
        <f>D161*3+E161</f>
      </c>
    </row>
    <row r="164">
      <c r="A164" t="str">
        <v>GRUPO K: Portugal · RD del Congo · Uzbekistán · Colombia</v>
      </c>
    </row>
    <row r="165">
      <c r="A165" t="str">
        <v>#</v>
      </c>
      <c r="B165" t="str">
        <v>Local</v>
      </c>
      <c r="C165" t="str">
        <v>vs</v>
      </c>
      <c r="D165" t="str">
        <v>Visitante</v>
      </c>
      <c r="E165" t="str">
        <v>GL</v>
      </c>
      <c r="F165" t="str">
        <v>GV</v>
      </c>
    </row>
    <row r="166">
      <c r="A166">
        <v>1</v>
      </c>
      <c r="B166" t="str">
        <v>Portugal</v>
      </c>
      <c r="C166" t="str">
        <v>vs</v>
      </c>
      <c r="D166" t="str">
        <v>RD del Congo</v>
      </c>
      <c r="E166" t="str">
        <v/>
      </c>
      <c r="F166" t="str">
        <v/>
      </c>
    </row>
    <row r="167">
      <c r="A167">
        <v>2</v>
      </c>
      <c r="B167" t="str">
        <v>Portugal</v>
      </c>
      <c r="C167" t="str">
        <v>vs</v>
      </c>
      <c r="D167" t="str">
        <v>Uzbekistán</v>
      </c>
      <c r="E167" t="str">
        <v/>
      </c>
      <c r="F167" t="str">
        <v/>
      </c>
    </row>
    <row r="168">
      <c r="A168">
        <v>3</v>
      </c>
      <c r="B168" t="str">
        <v>Portugal</v>
      </c>
      <c r="C168" t="str">
        <v>vs</v>
      </c>
      <c r="D168" t="str">
        <v>Colombia</v>
      </c>
      <c r="E168" t="str">
        <v/>
      </c>
      <c r="F168" t="str">
        <v/>
      </c>
    </row>
    <row r="169">
      <c r="A169">
        <v>4</v>
      </c>
      <c r="B169" t="str">
        <v>RD del Congo</v>
      </c>
      <c r="C169" t="str">
        <v>vs</v>
      </c>
      <c r="D169" t="str">
        <v>Uzbekistán</v>
      </c>
      <c r="E169" t="str">
        <v/>
      </c>
      <c r="F169" t="str">
        <v/>
      </c>
    </row>
    <row r="170">
      <c r="A170">
        <v>5</v>
      </c>
      <c r="B170" t="str">
        <v>RD del Congo</v>
      </c>
      <c r="C170" t="str">
        <v>vs</v>
      </c>
      <c r="D170" t="str">
        <v>Colombia</v>
      </c>
      <c r="E170" t="str">
        <v/>
      </c>
      <c r="F170" t="str">
        <v/>
      </c>
    </row>
    <row r="171">
      <c r="A171">
        <v>6</v>
      </c>
      <c r="B171" t="str">
        <v>Uzbekistán</v>
      </c>
      <c r="C171" t="str">
        <v>vs</v>
      </c>
      <c r="D171" t="str">
        <v>Colombia</v>
      </c>
      <c r="E171" t="str">
        <v/>
      </c>
      <c r="F171" t="str">
        <v/>
      </c>
    </row>
    <row r="173">
      <c r="A173" t="str">
        <v>Pos</v>
      </c>
      <c r="B173" t="str">
        <v>Equipo</v>
      </c>
      <c r="C173" t="str">
        <v>PJ</v>
      </c>
      <c r="D173" t="str">
        <v>G</v>
      </c>
      <c r="E173" t="str">
        <v>E</v>
      </c>
      <c r="F173" t="str">
        <v>P</v>
      </c>
      <c r="G173" t="str">
        <v>GF</v>
      </c>
      <c r="H173" t="str">
        <v>GC</v>
      </c>
      <c r="I173" t="str">
        <v>DG</v>
      </c>
      <c r="J173" t="str">
        <v>Pts</v>
      </c>
    </row>
    <row r="174">
      <c r="A174">
        <f>SUMPRODUCT((J174:J177&gt;J174)*1)+SUMPRODUCT((J174:J177=J174)*(I174:I177&gt;I174))+SUMPRODUCT((J174:J177=J174)*(I174:I177=I174)*(G174:G177&gt;G174))+1</f>
      </c>
      <c r="B174" t="str">
        <v>Portugal</v>
      </c>
      <c r="C174">
        <f>D174+E174+F174</f>
      </c>
      <c r="D174">
        <f>SUMPRODUCT(($B$166:$B$171="Portugal")*($E$166:$E$171&gt;$F$166:$F$171)*($E$166:$E$171&lt;&gt;"")*($F$166:$F$171&lt;&gt;""))+SUMPRODUCT(($D$166:$D$171="Portugal")*($F$166:$F$171&gt;$E$166:$E$171)*($E$166:$E$171&lt;&gt;"")*($F$166:$F$171&lt;&gt;""))</f>
      </c>
      <c r="E174">
        <f>SUMPRODUCT((($B$166:$B$171="Portugal")+($D$166:$D$171="Portugal"))*($E$166:$E$171=$F$166:$F$171)*($E$166:$E$171&lt;&gt;"")*($F$166:$F$171&lt;&gt;""))</f>
      </c>
      <c r="F174">
        <f>SUMPRODUCT(($B$166:$B$171="Portugal")*($E$166:$E$171&lt;$F$166:$F$171)*($E$166:$E$171&lt;&gt;"")*($F$166:$F$171&lt;&gt;""))+SUMPRODUCT(($D$166:$D$171="Portugal")*($F$166:$F$171&lt;$E$166:$E$171)*($E$166:$E$171&lt;&gt;"")*($F$166:$F$171&lt;&gt;""))</f>
      </c>
      <c r="G174">
        <f>SUMPRODUCT(($B$166:$B$171="Portugal")*$E$166:$E$171*($E$166:$E$171&lt;&gt;"")*($F$166:$F$171&lt;&gt;""))+SUMPRODUCT(($D$166:$D$171="Portugal")*$F$166:$F$171*($E$166:$E$171&lt;&gt;"")*($F$166:$F$171&lt;&gt;""))</f>
      </c>
      <c r="H174">
        <f>SUMPRODUCT(($B$166:$B$171="Portugal")*$F$166:$F$171*($E$166:$E$171&lt;&gt;"")*($F$166:$F$171&lt;&gt;""))+SUMPRODUCT(($D$166:$D$171="Portugal")*$E$166:$E$171*($E$166:$E$171&lt;&gt;"")*($F$166:$F$171&lt;&gt;""))</f>
      </c>
      <c r="I174">
        <f>G174-H174</f>
      </c>
      <c r="J174">
        <f>D174*3+E174</f>
      </c>
    </row>
    <row r="175">
      <c r="A175">
        <f>SUMPRODUCT((J174:J177&gt;J175)*1)+SUMPRODUCT((J174:J177=J175)*(I174:I177&gt;I175))+SUMPRODUCT((J174:J177=J175)*(I174:I177=I175)*(G174:G177&gt;G175))+1</f>
      </c>
      <c r="B175" t="str">
        <v>RD del Congo</v>
      </c>
      <c r="C175">
        <f>D175+E175+F175</f>
      </c>
      <c r="D175">
        <f>SUMPRODUCT(($B$166:$B$171="RD del Congo")*($E$166:$E$171&gt;$F$166:$F$171)*($E$166:$E$171&lt;&gt;"")*($F$166:$F$171&lt;&gt;""))+SUMPRODUCT(($D$166:$D$171="RD del Congo")*($F$166:$F$171&gt;$E$166:$E$171)*($E$166:$E$171&lt;&gt;"")*($F$166:$F$171&lt;&gt;""))</f>
      </c>
      <c r="E175">
        <f>SUMPRODUCT((($B$166:$B$171="RD del Congo")+($D$166:$D$171="RD del Congo"))*($E$166:$E$171=$F$166:$F$171)*($E$166:$E$171&lt;&gt;"")*($F$166:$F$171&lt;&gt;""))</f>
      </c>
      <c r="F175">
        <f>SUMPRODUCT(($B$166:$B$171="RD del Congo")*($E$166:$E$171&lt;$F$166:$F$171)*($E$166:$E$171&lt;&gt;"")*($F$166:$F$171&lt;&gt;""))+SUMPRODUCT(($D$166:$D$171="RD del Congo")*($F$166:$F$171&lt;$E$166:$E$171)*($E$166:$E$171&lt;&gt;"")*($F$166:$F$171&lt;&gt;""))</f>
      </c>
      <c r="G175">
        <f>SUMPRODUCT(($B$166:$B$171="RD del Congo")*$E$166:$E$171*($E$166:$E$171&lt;&gt;"")*($F$166:$F$171&lt;&gt;""))+SUMPRODUCT(($D$166:$D$171="RD del Congo")*$F$166:$F$171*($E$166:$E$171&lt;&gt;"")*($F$166:$F$171&lt;&gt;""))</f>
      </c>
      <c r="H175">
        <f>SUMPRODUCT(($B$166:$B$171="RD del Congo")*$F$166:$F$171*($E$166:$E$171&lt;&gt;"")*($F$166:$F$171&lt;&gt;""))+SUMPRODUCT(($D$166:$D$171="RD del Congo")*$E$166:$E$171*($E$166:$E$171&lt;&gt;"")*($F$166:$F$171&lt;&gt;""))</f>
      </c>
      <c r="I175">
        <f>G175-H175</f>
      </c>
      <c r="J175">
        <f>D175*3+E175</f>
      </c>
    </row>
    <row r="176">
      <c r="A176">
        <f>SUMPRODUCT((J174:J177&gt;J176)*1)+SUMPRODUCT((J174:J177=J176)*(I174:I177&gt;I176))+SUMPRODUCT((J174:J177=J176)*(I174:I177=I176)*(G174:G177&gt;G176))+1</f>
      </c>
      <c r="B176" t="str">
        <v>Uzbekistán</v>
      </c>
      <c r="C176">
        <f>D176+E176+F176</f>
      </c>
      <c r="D176">
        <f>SUMPRODUCT(($B$166:$B$171="Uzbekistán")*($E$166:$E$171&gt;$F$166:$F$171)*($E$166:$E$171&lt;&gt;"")*($F$166:$F$171&lt;&gt;""))+SUMPRODUCT(($D$166:$D$171="Uzbekistán")*($F$166:$F$171&gt;$E$166:$E$171)*($E$166:$E$171&lt;&gt;"")*($F$166:$F$171&lt;&gt;""))</f>
      </c>
      <c r="E176">
        <f>SUMPRODUCT((($B$166:$B$171="Uzbekistán")+($D$166:$D$171="Uzbekistán"))*($E$166:$E$171=$F$166:$F$171)*($E$166:$E$171&lt;&gt;"")*($F$166:$F$171&lt;&gt;""))</f>
      </c>
      <c r="F176">
        <f>SUMPRODUCT(($B$166:$B$171="Uzbekistán")*($E$166:$E$171&lt;$F$166:$F$171)*($E$166:$E$171&lt;&gt;"")*($F$166:$F$171&lt;&gt;""))+SUMPRODUCT(($D$166:$D$171="Uzbekistán")*($F$166:$F$171&lt;$E$166:$E$171)*($E$166:$E$171&lt;&gt;"")*($F$166:$F$171&lt;&gt;""))</f>
      </c>
      <c r="G176">
        <f>SUMPRODUCT(($B$166:$B$171="Uzbekistán")*$E$166:$E$171*($E$166:$E$171&lt;&gt;"")*($F$166:$F$171&lt;&gt;""))+SUMPRODUCT(($D$166:$D$171="Uzbekistán")*$F$166:$F$171*($E$166:$E$171&lt;&gt;"")*($F$166:$F$171&lt;&gt;""))</f>
      </c>
      <c r="H176">
        <f>SUMPRODUCT(($B$166:$B$171="Uzbekistán")*$F$166:$F$171*($E$166:$E$171&lt;&gt;"")*($F$166:$F$171&lt;&gt;""))+SUMPRODUCT(($D$166:$D$171="Uzbekistán")*$E$166:$E$171*($E$166:$E$171&lt;&gt;"")*($F$166:$F$171&lt;&gt;""))</f>
      </c>
      <c r="I176">
        <f>G176-H176</f>
      </c>
      <c r="J176">
        <f>D176*3+E176</f>
      </c>
    </row>
    <row r="177">
      <c r="A177">
        <f>SUMPRODUCT((J174:J177&gt;J177)*1)+SUMPRODUCT((J174:J177=J177)*(I174:I177&gt;I177))+SUMPRODUCT((J174:J177=J177)*(I174:I177=I177)*(G174:G177&gt;G177))+1</f>
      </c>
      <c r="B177" t="str">
        <v>Colombia</v>
      </c>
      <c r="C177">
        <f>D177+E177+F177</f>
      </c>
      <c r="D177">
        <f>SUMPRODUCT(($B$166:$B$171="Colombia")*($E$166:$E$171&gt;$F$166:$F$171)*($E$166:$E$171&lt;&gt;"")*($F$166:$F$171&lt;&gt;""))+SUMPRODUCT(($D$166:$D$171="Colombia")*($F$166:$F$171&gt;$E$166:$E$171)*($E$166:$E$171&lt;&gt;"")*($F$166:$F$171&lt;&gt;""))</f>
      </c>
      <c r="E177">
        <f>SUMPRODUCT((($B$166:$B$171="Colombia")+($D$166:$D$171="Colombia"))*($E$166:$E$171=$F$166:$F$171)*($E$166:$E$171&lt;&gt;"")*($F$166:$F$171&lt;&gt;""))</f>
      </c>
      <c r="F177">
        <f>SUMPRODUCT(($B$166:$B$171="Colombia")*($E$166:$E$171&lt;$F$166:$F$171)*($E$166:$E$171&lt;&gt;"")*($F$166:$F$171&lt;&gt;""))+SUMPRODUCT(($D$166:$D$171="Colombia")*($F$166:$F$171&lt;$E$166:$E$171)*($E$166:$E$171&lt;&gt;"")*($F$166:$F$171&lt;&gt;""))</f>
      </c>
      <c r="G177">
        <f>SUMPRODUCT(($B$166:$B$171="Colombia")*$E$166:$E$171*($E$166:$E$171&lt;&gt;"")*($F$166:$F$171&lt;&gt;""))+SUMPRODUCT(($D$166:$D$171="Colombia")*$F$166:$F$171*($E$166:$E$171&lt;&gt;"")*($F$166:$F$171&lt;&gt;""))</f>
      </c>
      <c r="H177">
        <f>SUMPRODUCT(($B$166:$B$171="Colombia")*$F$166:$F$171*($E$166:$E$171&lt;&gt;"")*($F$166:$F$171&lt;&gt;""))+SUMPRODUCT(($D$166:$D$171="Colombia")*$E$166:$E$171*($E$166:$E$171&lt;&gt;"")*($F$166:$F$171&lt;&gt;""))</f>
      </c>
      <c r="I177">
        <f>G177-H177</f>
      </c>
      <c r="J177">
        <f>D177*3+E177</f>
      </c>
    </row>
    <row r="180">
      <c r="A180" t="str">
        <v>GRUPO L: Inglaterra · Croacia · Ghana · Panamá</v>
      </c>
    </row>
    <row r="181">
      <c r="A181" t="str">
        <v>#</v>
      </c>
      <c r="B181" t="str">
        <v>Local</v>
      </c>
      <c r="C181" t="str">
        <v>vs</v>
      </c>
      <c r="D181" t="str">
        <v>Visitante</v>
      </c>
      <c r="E181" t="str">
        <v>GL</v>
      </c>
      <c r="F181" t="str">
        <v>GV</v>
      </c>
    </row>
    <row r="182">
      <c r="A182">
        <v>1</v>
      </c>
      <c r="B182" t="str">
        <v>Inglaterra</v>
      </c>
      <c r="C182" t="str">
        <v>vs</v>
      </c>
      <c r="D182" t="str">
        <v>Croacia</v>
      </c>
      <c r="E182" t="str">
        <v/>
      </c>
      <c r="F182" t="str">
        <v/>
      </c>
    </row>
    <row r="183">
      <c r="A183">
        <v>2</v>
      </c>
      <c r="B183" t="str">
        <v>Inglaterra</v>
      </c>
      <c r="C183" t="str">
        <v>vs</v>
      </c>
      <c r="D183" t="str">
        <v>Ghana</v>
      </c>
      <c r="E183" t="str">
        <v/>
      </c>
      <c r="F183" t="str">
        <v/>
      </c>
    </row>
    <row r="184">
      <c r="A184">
        <v>3</v>
      </c>
      <c r="B184" t="str">
        <v>Inglaterra</v>
      </c>
      <c r="C184" t="str">
        <v>vs</v>
      </c>
      <c r="D184" t="str">
        <v>Panamá</v>
      </c>
      <c r="E184" t="str">
        <v/>
      </c>
      <c r="F184" t="str">
        <v/>
      </c>
    </row>
    <row r="185">
      <c r="A185">
        <v>4</v>
      </c>
      <c r="B185" t="str">
        <v>Croacia</v>
      </c>
      <c r="C185" t="str">
        <v>vs</v>
      </c>
      <c r="D185" t="str">
        <v>Ghana</v>
      </c>
      <c r="E185" t="str">
        <v/>
      </c>
      <c r="F185" t="str">
        <v/>
      </c>
    </row>
    <row r="186">
      <c r="A186">
        <v>5</v>
      </c>
      <c r="B186" t="str">
        <v>Croacia</v>
      </c>
      <c r="C186" t="str">
        <v>vs</v>
      </c>
      <c r="D186" t="str">
        <v>Panamá</v>
      </c>
      <c r="E186" t="str">
        <v/>
      </c>
      <c r="F186" t="str">
        <v/>
      </c>
    </row>
    <row r="187">
      <c r="A187">
        <v>6</v>
      </c>
      <c r="B187" t="str">
        <v>Ghana</v>
      </c>
      <c r="C187" t="str">
        <v>vs</v>
      </c>
      <c r="D187" t="str">
        <v>Panamá</v>
      </c>
      <c r="E187" t="str">
        <v/>
      </c>
      <c r="F187" t="str">
        <v/>
      </c>
    </row>
    <row r="189">
      <c r="A189" t="str">
        <v>Pos</v>
      </c>
      <c r="B189" t="str">
        <v>Equipo</v>
      </c>
      <c r="C189" t="str">
        <v>PJ</v>
      </c>
      <c r="D189" t="str">
        <v>G</v>
      </c>
      <c r="E189" t="str">
        <v>E</v>
      </c>
      <c r="F189" t="str">
        <v>P</v>
      </c>
      <c r="G189" t="str">
        <v>GF</v>
      </c>
      <c r="H189" t="str">
        <v>GC</v>
      </c>
      <c r="I189" t="str">
        <v>DG</v>
      </c>
      <c r="J189" t="str">
        <v>Pts</v>
      </c>
    </row>
    <row r="190">
      <c r="A190">
        <f>SUMPRODUCT((J190:J193&gt;J190)*1)+SUMPRODUCT((J190:J193=J190)*(I190:I193&gt;I190))+SUMPRODUCT((J190:J193=J190)*(I190:I193=I190)*(G190:G193&gt;G190))+1</f>
      </c>
      <c r="B190" t="str">
        <v>Inglaterra</v>
      </c>
      <c r="C190">
        <f>D190+E190+F190</f>
      </c>
      <c r="D190">
        <f>SUMPRODUCT(($B$182:$B$187="Inglaterra")*($E$182:$E$187&gt;$F$182:$F$187)*($E$182:$E$187&lt;&gt;"")*($F$182:$F$187&lt;&gt;""))+SUMPRODUCT(($D$182:$D$187="Inglaterra")*($F$182:$F$187&gt;$E$182:$E$187)*($E$182:$E$187&lt;&gt;"")*($F$182:$F$187&lt;&gt;""))</f>
      </c>
      <c r="E190">
        <f>SUMPRODUCT((($B$182:$B$187="Inglaterra")+($D$182:$D$187="Inglaterra"))*($E$182:$E$187=$F$182:$F$187)*($E$182:$E$187&lt;&gt;"")*($F$182:$F$187&lt;&gt;""))</f>
      </c>
      <c r="F190">
        <f>SUMPRODUCT(($B$182:$B$187="Inglaterra")*($E$182:$E$187&lt;$F$182:$F$187)*($E$182:$E$187&lt;&gt;"")*($F$182:$F$187&lt;&gt;""))+SUMPRODUCT(($D$182:$D$187="Inglaterra")*($F$182:$F$187&lt;$E$182:$E$187)*($E$182:$E$187&lt;&gt;"")*($F$182:$F$187&lt;&gt;""))</f>
      </c>
      <c r="G190">
        <f>SUMPRODUCT(($B$182:$B$187="Inglaterra")*$E$182:$E$187*($E$182:$E$187&lt;&gt;"")*($F$182:$F$187&lt;&gt;""))+SUMPRODUCT(($D$182:$D$187="Inglaterra")*$F$182:$F$187*($E$182:$E$187&lt;&gt;"")*($F$182:$F$187&lt;&gt;""))</f>
      </c>
      <c r="H190">
        <f>SUMPRODUCT(($B$182:$B$187="Inglaterra")*$F$182:$F$187*($E$182:$E$187&lt;&gt;"")*($F$182:$F$187&lt;&gt;""))+SUMPRODUCT(($D$182:$D$187="Inglaterra")*$E$182:$E$187*($E$182:$E$187&lt;&gt;"")*($F$182:$F$187&lt;&gt;""))</f>
      </c>
      <c r="I190">
        <f>G190-H190</f>
      </c>
      <c r="J190">
        <f>D190*3+E190</f>
      </c>
    </row>
    <row r="191">
      <c r="A191">
        <f>SUMPRODUCT((J190:J193&gt;J191)*1)+SUMPRODUCT((J190:J193=J191)*(I190:I193&gt;I191))+SUMPRODUCT((J190:J193=J191)*(I190:I193=I191)*(G190:G193&gt;G191))+1</f>
      </c>
      <c r="B191" t="str">
        <v>Croacia</v>
      </c>
      <c r="C191">
        <f>D191+E191+F191</f>
      </c>
      <c r="D191">
        <f>SUMPRODUCT(($B$182:$B$187="Croacia")*($E$182:$E$187&gt;$F$182:$F$187)*($E$182:$E$187&lt;&gt;"")*($F$182:$F$187&lt;&gt;""))+SUMPRODUCT(($D$182:$D$187="Croacia")*($F$182:$F$187&gt;$E$182:$E$187)*($E$182:$E$187&lt;&gt;"")*($F$182:$F$187&lt;&gt;""))</f>
      </c>
      <c r="E191">
        <f>SUMPRODUCT((($B$182:$B$187="Croacia")+($D$182:$D$187="Croacia"))*($E$182:$E$187=$F$182:$F$187)*($E$182:$E$187&lt;&gt;"")*($F$182:$F$187&lt;&gt;""))</f>
      </c>
      <c r="F191">
        <f>SUMPRODUCT(($B$182:$B$187="Croacia")*($E$182:$E$187&lt;$F$182:$F$187)*($E$182:$E$187&lt;&gt;"")*($F$182:$F$187&lt;&gt;""))+SUMPRODUCT(($D$182:$D$187="Croacia")*($F$182:$F$187&lt;$E$182:$E$187)*($E$182:$E$187&lt;&gt;"")*($F$182:$F$187&lt;&gt;""))</f>
      </c>
      <c r="G191">
        <f>SUMPRODUCT(($B$182:$B$187="Croacia")*$E$182:$E$187*($E$182:$E$187&lt;&gt;"")*($F$182:$F$187&lt;&gt;""))+SUMPRODUCT(($D$182:$D$187="Croacia")*$F$182:$F$187*($E$182:$E$187&lt;&gt;"")*($F$182:$F$187&lt;&gt;""))</f>
      </c>
      <c r="H191">
        <f>SUMPRODUCT(($B$182:$B$187="Croacia")*$F$182:$F$187*($E$182:$E$187&lt;&gt;"")*($F$182:$F$187&lt;&gt;""))+SUMPRODUCT(($D$182:$D$187="Croacia")*$E$182:$E$187*($E$182:$E$187&lt;&gt;"")*($F$182:$F$187&lt;&gt;""))</f>
      </c>
      <c r="I191">
        <f>G191-H191</f>
      </c>
      <c r="J191">
        <f>D191*3+E191</f>
      </c>
    </row>
    <row r="192">
      <c r="A192">
        <f>SUMPRODUCT((J190:J193&gt;J192)*1)+SUMPRODUCT((J190:J193=J192)*(I190:I193&gt;I192))+SUMPRODUCT((J190:J193=J192)*(I190:I193=I192)*(G190:G193&gt;G192))+1</f>
      </c>
      <c r="B192" t="str">
        <v>Ghana</v>
      </c>
      <c r="C192">
        <f>D192+E192+F192</f>
      </c>
      <c r="D192">
        <f>SUMPRODUCT(($B$182:$B$187="Ghana")*($E$182:$E$187&gt;$F$182:$F$187)*($E$182:$E$187&lt;&gt;"")*($F$182:$F$187&lt;&gt;""))+SUMPRODUCT(($D$182:$D$187="Ghana")*($F$182:$F$187&gt;$E$182:$E$187)*($E$182:$E$187&lt;&gt;"")*($F$182:$F$187&lt;&gt;""))</f>
      </c>
      <c r="E192">
        <f>SUMPRODUCT((($B$182:$B$187="Ghana")+($D$182:$D$187="Ghana"))*($E$182:$E$187=$F$182:$F$187)*($E$182:$E$187&lt;&gt;"")*($F$182:$F$187&lt;&gt;""))</f>
      </c>
      <c r="F192">
        <f>SUMPRODUCT(($B$182:$B$187="Ghana")*($E$182:$E$187&lt;$F$182:$F$187)*($E$182:$E$187&lt;&gt;"")*($F$182:$F$187&lt;&gt;""))+SUMPRODUCT(($D$182:$D$187="Ghana")*($F$182:$F$187&lt;$E$182:$E$187)*($E$182:$E$187&lt;&gt;"")*($F$182:$F$187&lt;&gt;""))</f>
      </c>
      <c r="G192">
        <f>SUMPRODUCT(($B$182:$B$187="Ghana")*$E$182:$E$187*($E$182:$E$187&lt;&gt;"")*($F$182:$F$187&lt;&gt;""))+SUMPRODUCT(($D$182:$D$187="Ghana")*$F$182:$F$187*($E$182:$E$187&lt;&gt;"")*($F$182:$F$187&lt;&gt;""))</f>
      </c>
      <c r="H192">
        <f>SUMPRODUCT(($B$182:$B$187="Ghana")*$F$182:$F$187*($E$182:$E$187&lt;&gt;"")*($F$182:$F$187&lt;&gt;""))+SUMPRODUCT(($D$182:$D$187="Ghana")*$E$182:$E$187*($E$182:$E$187&lt;&gt;"")*($F$182:$F$187&lt;&gt;""))</f>
      </c>
      <c r="I192">
        <f>G192-H192</f>
      </c>
      <c r="J192">
        <f>D192*3+E192</f>
      </c>
    </row>
    <row r="193">
      <c r="A193">
        <f>SUMPRODUCT((J190:J193&gt;J193)*1)+SUMPRODUCT((J190:J193=J193)*(I190:I193&gt;I193))+SUMPRODUCT((J190:J193=J193)*(I190:I193=I193)*(G190:G193&gt;G193))+1</f>
      </c>
      <c r="B193" t="str">
        <v>Panamá</v>
      </c>
      <c r="C193">
        <f>D193+E193+F193</f>
      </c>
      <c r="D193">
        <f>SUMPRODUCT(($B$182:$B$187="Panamá")*($E$182:$E$187&gt;$F$182:$F$187)*($E$182:$E$187&lt;&gt;"")*($F$182:$F$187&lt;&gt;""))+SUMPRODUCT(($D$182:$D$187="Panamá")*($F$182:$F$187&gt;$E$182:$E$187)*($E$182:$E$187&lt;&gt;"")*($F$182:$F$187&lt;&gt;""))</f>
      </c>
      <c r="E193">
        <f>SUMPRODUCT((($B$182:$B$187="Panamá")+($D$182:$D$187="Panamá"))*($E$182:$E$187=$F$182:$F$187)*($E$182:$E$187&lt;&gt;"")*($F$182:$F$187&lt;&gt;""))</f>
      </c>
      <c r="F193">
        <f>SUMPRODUCT(($B$182:$B$187="Panamá")*($E$182:$E$187&lt;$F$182:$F$187)*($E$182:$E$187&lt;&gt;"")*($F$182:$F$187&lt;&gt;""))+SUMPRODUCT(($D$182:$D$187="Panamá")*($F$182:$F$187&lt;$E$182:$E$187)*($E$182:$E$187&lt;&gt;"")*($F$182:$F$187&lt;&gt;""))</f>
      </c>
      <c r="G193">
        <f>SUMPRODUCT(($B$182:$B$187="Panamá")*$E$182:$E$187*($E$182:$E$187&lt;&gt;"")*($F$182:$F$187&lt;&gt;""))+SUMPRODUCT(($D$182:$D$187="Panamá")*$F$182:$F$187*($E$182:$E$187&lt;&gt;"")*($F$182:$F$187&lt;&gt;""))</f>
      </c>
      <c r="H193">
        <f>SUMPRODUCT(($B$182:$B$187="Panamá")*$F$182:$F$187*($E$182:$E$187&lt;&gt;"")*($F$182:$F$187&lt;&gt;""))+SUMPRODUCT(($D$182:$D$187="Panamá")*$E$182:$E$187*($E$182:$E$187&lt;&gt;"")*($F$182:$F$187&lt;&gt;""))</f>
      </c>
      <c r="I193">
        <f>G193-H193</f>
      </c>
      <c r="J193">
        <f>D193*3+E193</f>
      </c>
    </row>
    <row r="197">
      <c r="A197" t="str">
        <v>CLASIFICADOS A R32 — TOP 2 DE CADA GRUPO (calculado automáticamente)</v>
      </c>
    </row>
    <row r="198">
      <c r="A198" t="str">
        <v>Grupo</v>
      </c>
      <c r="B198" t="str">
        <v>1° (auto)</v>
      </c>
      <c r="C198" t="str">
        <v>2° (auto)</v>
      </c>
      <c r="D198" t="str">
        <v>3° (candidato, eliges abajo)</v>
      </c>
    </row>
    <row r="199">
      <c r="A199" t="str">
        <v>A</v>
      </c>
      <c r="B199">
        <f>INDEX(B14:B17,MATCH(1,A14:A17,0))</f>
      </c>
      <c r="C199">
        <f>INDEX(B14:B17,MATCH(2,A14:A17,0))</f>
      </c>
      <c r="D199">
        <f>INDEX(B14:B17,MATCH(3,A14:A17,0))</f>
      </c>
    </row>
    <row r="200">
      <c r="A200" t="str">
        <v>B</v>
      </c>
      <c r="B200">
        <f>INDEX(B30:B33,MATCH(1,A30:A33,0))</f>
      </c>
      <c r="C200">
        <f>INDEX(B30:B33,MATCH(2,A30:A33,0))</f>
      </c>
      <c r="D200">
        <f>INDEX(B30:B33,MATCH(3,A30:A33,0))</f>
      </c>
    </row>
    <row r="201">
      <c r="A201" t="str">
        <v>C</v>
      </c>
      <c r="B201">
        <f>INDEX(B46:B49,MATCH(1,A46:A49,0))</f>
      </c>
      <c r="C201">
        <f>INDEX(B46:B49,MATCH(2,A46:A49,0))</f>
      </c>
      <c r="D201">
        <f>INDEX(B46:B49,MATCH(3,A46:A49,0))</f>
      </c>
    </row>
    <row r="202">
      <c r="A202" t="str">
        <v>D</v>
      </c>
      <c r="B202">
        <f>INDEX(B62:B65,MATCH(1,A62:A65,0))</f>
      </c>
      <c r="C202">
        <f>INDEX(B62:B65,MATCH(2,A62:A65,0))</f>
      </c>
      <c r="D202">
        <f>INDEX(B62:B65,MATCH(3,A62:A65,0))</f>
      </c>
    </row>
    <row r="203">
      <c r="A203" t="str">
        <v>E</v>
      </c>
      <c r="B203">
        <f>INDEX(B78:B81,MATCH(1,A78:A81,0))</f>
      </c>
      <c r="C203">
        <f>INDEX(B78:B81,MATCH(2,A78:A81,0))</f>
      </c>
      <c r="D203">
        <f>INDEX(B78:B81,MATCH(3,A78:A81,0))</f>
      </c>
    </row>
    <row r="204">
      <c r="A204" t="str">
        <v>F</v>
      </c>
      <c r="B204">
        <f>INDEX(B94:B97,MATCH(1,A94:A97,0))</f>
      </c>
      <c r="C204">
        <f>INDEX(B94:B97,MATCH(2,A94:A97,0))</f>
      </c>
      <c r="D204">
        <f>INDEX(B94:B97,MATCH(3,A94:A97,0))</f>
      </c>
    </row>
    <row r="205">
      <c r="A205" t="str">
        <v>G</v>
      </c>
      <c r="B205">
        <f>INDEX(B110:B113,MATCH(1,A110:A113,0))</f>
      </c>
      <c r="C205">
        <f>INDEX(B110:B113,MATCH(2,A110:A113,0))</f>
      </c>
      <c r="D205">
        <f>INDEX(B110:B113,MATCH(3,A110:A113,0))</f>
      </c>
    </row>
    <row r="206">
      <c r="A206" t="str">
        <v>H</v>
      </c>
      <c r="B206">
        <f>INDEX(B126:B129,MATCH(1,A126:A129,0))</f>
      </c>
      <c r="C206">
        <f>INDEX(B126:B129,MATCH(2,A126:A129,0))</f>
      </c>
      <c r="D206">
        <f>INDEX(B126:B129,MATCH(3,A126:A129,0))</f>
      </c>
    </row>
    <row r="207">
      <c r="A207" t="str">
        <v>I</v>
      </c>
      <c r="B207">
        <f>INDEX(B142:B145,MATCH(1,A142:A145,0))</f>
      </c>
      <c r="C207">
        <f>INDEX(B142:B145,MATCH(2,A142:A145,0))</f>
      </c>
      <c r="D207">
        <f>INDEX(B142:B145,MATCH(3,A142:A145,0))</f>
      </c>
    </row>
    <row r="208">
      <c r="A208" t="str">
        <v>J</v>
      </c>
      <c r="B208">
        <f>INDEX(B158:B161,MATCH(1,A158:A161,0))</f>
      </c>
      <c r="C208">
        <f>INDEX(B158:B161,MATCH(2,A158:A161,0))</f>
      </c>
      <c r="D208">
        <f>INDEX(B158:B161,MATCH(3,A158:A161,0))</f>
      </c>
    </row>
    <row r="209">
      <c r="A209" t="str">
        <v>K</v>
      </c>
      <c r="B209">
        <f>INDEX(B174:B177,MATCH(1,A174:A177,0))</f>
      </c>
      <c r="C209">
        <f>INDEX(B174:B177,MATCH(2,A174:A177,0))</f>
      </c>
      <c r="D209">
        <f>INDEX(B174:B177,MATCH(3,A174:A177,0))</f>
      </c>
    </row>
    <row r="210">
      <c r="A210" t="str">
        <v>L</v>
      </c>
      <c r="B210">
        <f>INDEX(B190:B193,MATCH(1,A190:A193,0))</f>
      </c>
      <c r="C210">
        <f>INDEX(B190:B193,MATCH(2,A190:A193,0))</f>
      </c>
      <c r="D210">
        <f>INDEX(B190:B193,MATCH(3,A190:A193,0))</f>
      </c>
    </row>
    <row r="212">
      <c r="A212" t="str">
        <v>TERCEROS CANDIDATOS — pasan los 8 mejores. Elige a mano 8 marcando "X" en la última columna.</v>
      </c>
    </row>
    <row r="213">
      <c r="A213" t="str">
        <v>Grupo</v>
      </c>
      <c r="B213" t="str">
        <v>Equipo (auto)</v>
      </c>
      <c r="C213" t="str">
        <v>Pts (auto)</v>
      </c>
      <c r="D213" t="str">
        <v>DG (auto)</v>
      </c>
      <c r="E213" t="str">
        <v>GF (auto)</v>
      </c>
      <c r="F213" t="str">
        <v>Pasa? (X)</v>
      </c>
    </row>
    <row r="214">
      <c r="A214" t="str">
        <v>A</v>
      </c>
      <c r="B214">
        <f>INDEX(B14:B17,MATCH(3,A14:A17,0))</f>
      </c>
      <c r="C214">
        <f>INDEX(J14:J17,MATCH(3,A14:A17,0))</f>
      </c>
      <c r="D214">
        <f>INDEX(I14:I17,MATCH(3,A14:A17,0))</f>
      </c>
      <c r="E214">
        <f>INDEX(G14:G17,MATCH(3,A14:A17,0))</f>
      </c>
      <c r="F214" t="str">
        <v/>
      </c>
    </row>
    <row r="215">
      <c r="A215" t="str">
        <v>B</v>
      </c>
      <c r="B215">
        <f>INDEX(B30:B33,MATCH(3,A30:A33,0))</f>
      </c>
      <c r="C215">
        <f>INDEX(J30:J33,MATCH(3,A30:A33,0))</f>
      </c>
      <c r="D215">
        <f>INDEX(I30:I33,MATCH(3,A30:A33,0))</f>
      </c>
      <c r="E215">
        <f>INDEX(G30:G33,MATCH(3,A30:A33,0))</f>
      </c>
      <c r="F215" t="str">
        <v/>
      </c>
    </row>
    <row r="216">
      <c r="A216" t="str">
        <v>C</v>
      </c>
      <c r="B216">
        <f>INDEX(B46:B49,MATCH(3,A46:A49,0))</f>
      </c>
      <c r="C216">
        <f>INDEX(J46:J49,MATCH(3,A46:A49,0))</f>
      </c>
      <c r="D216">
        <f>INDEX(I46:I49,MATCH(3,A46:A49,0))</f>
      </c>
      <c r="E216">
        <f>INDEX(G46:G49,MATCH(3,A46:A49,0))</f>
      </c>
      <c r="F216" t="str">
        <v/>
      </c>
    </row>
    <row r="217">
      <c r="A217" t="str">
        <v>D</v>
      </c>
      <c r="B217">
        <f>INDEX(B62:B65,MATCH(3,A62:A65,0))</f>
      </c>
      <c r="C217">
        <f>INDEX(J62:J65,MATCH(3,A62:A65,0))</f>
      </c>
      <c r="D217">
        <f>INDEX(I62:I65,MATCH(3,A62:A65,0))</f>
      </c>
      <c r="E217">
        <f>INDEX(G62:G65,MATCH(3,A62:A65,0))</f>
      </c>
      <c r="F217" t="str">
        <v/>
      </c>
    </row>
    <row r="218">
      <c r="A218" t="str">
        <v>E</v>
      </c>
      <c r="B218">
        <f>INDEX(B78:B81,MATCH(3,A78:A81,0))</f>
      </c>
      <c r="C218">
        <f>INDEX(J78:J81,MATCH(3,A78:A81,0))</f>
      </c>
      <c r="D218">
        <f>INDEX(I78:I81,MATCH(3,A78:A81,0))</f>
      </c>
      <c r="E218">
        <f>INDEX(G78:G81,MATCH(3,A78:A81,0))</f>
      </c>
      <c r="F218" t="str">
        <v/>
      </c>
    </row>
    <row r="219">
      <c r="A219" t="str">
        <v>F</v>
      </c>
      <c r="B219">
        <f>INDEX(B94:B97,MATCH(3,A94:A97,0))</f>
      </c>
      <c r="C219">
        <f>INDEX(J94:J97,MATCH(3,A94:A97,0))</f>
      </c>
      <c r="D219">
        <f>INDEX(I94:I97,MATCH(3,A94:A97,0))</f>
      </c>
      <c r="E219">
        <f>INDEX(G94:G97,MATCH(3,A94:A97,0))</f>
      </c>
      <c r="F219" t="str">
        <v/>
      </c>
    </row>
    <row r="220">
      <c r="A220" t="str">
        <v>G</v>
      </c>
      <c r="B220">
        <f>INDEX(B110:B113,MATCH(3,A110:A113,0))</f>
      </c>
      <c r="C220">
        <f>INDEX(J110:J113,MATCH(3,A110:A113,0))</f>
      </c>
      <c r="D220">
        <f>INDEX(I110:I113,MATCH(3,A110:A113,0))</f>
      </c>
      <c r="E220">
        <f>INDEX(G110:G113,MATCH(3,A110:A113,0))</f>
      </c>
      <c r="F220" t="str">
        <v/>
      </c>
    </row>
    <row r="221">
      <c r="A221" t="str">
        <v>H</v>
      </c>
      <c r="B221">
        <f>INDEX(B126:B129,MATCH(3,A126:A129,0))</f>
      </c>
      <c r="C221">
        <f>INDEX(J126:J129,MATCH(3,A126:A129,0))</f>
      </c>
      <c r="D221">
        <f>INDEX(I126:I129,MATCH(3,A126:A129,0))</f>
      </c>
      <c r="E221">
        <f>INDEX(G126:G129,MATCH(3,A126:A129,0))</f>
      </c>
      <c r="F221" t="str">
        <v/>
      </c>
    </row>
    <row r="222">
      <c r="A222" t="str">
        <v>I</v>
      </c>
      <c r="B222">
        <f>INDEX(B142:B145,MATCH(3,A142:A145,0))</f>
      </c>
      <c r="C222">
        <f>INDEX(J142:J145,MATCH(3,A142:A145,0))</f>
      </c>
      <c r="D222">
        <f>INDEX(I142:I145,MATCH(3,A142:A145,0))</f>
      </c>
      <c r="E222">
        <f>INDEX(G142:G145,MATCH(3,A142:A145,0))</f>
      </c>
      <c r="F222" t="str">
        <v/>
      </c>
    </row>
    <row r="223">
      <c r="A223" t="str">
        <v>J</v>
      </c>
      <c r="B223">
        <f>INDEX(B158:B161,MATCH(3,A158:A161,0))</f>
      </c>
      <c r="C223">
        <f>INDEX(J158:J161,MATCH(3,A158:A161,0))</f>
      </c>
      <c r="D223">
        <f>INDEX(I158:I161,MATCH(3,A158:A161,0))</f>
      </c>
      <c r="E223">
        <f>INDEX(G158:G161,MATCH(3,A158:A161,0))</f>
      </c>
      <c r="F223" t="str">
        <v/>
      </c>
    </row>
    <row r="224">
      <c r="A224" t="str">
        <v>K</v>
      </c>
      <c r="B224">
        <f>INDEX(B174:B177,MATCH(3,A174:A177,0))</f>
      </c>
      <c r="C224">
        <f>INDEX(J174:J177,MATCH(3,A174:A177,0))</f>
      </c>
      <c r="D224">
        <f>INDEX(I174:I177,MATCH(3,A174:A177,0))</f>
      </c>
      <c r="E224">
        <f>INDEX(G174:G177,MATCH(3,A174:A177,0))</f>
      </c>
      <c r="F224" t="str">
        <v/>
      </c>
    </row>
    <row r="225">
      <c r="A225" t="str">
        <v>L</v>
      </c>
      <c r="B225">
        <f>INDEX(B190:B193,MATCH(3,A190:A193,0))</f>
      </c>
      <c r="C225">
        <f>INDEX(J190:J193,MATCH(3,A190:A193,0))</f>
      </c>
      <c r="D225">
        <f>INDEX(I190:I193,MATCH(3,A190:A193,0))</f>
      </c>
      <c r="E225">
        <f>INDEX(G190:G193,MATCH(3,A190:A193,0))</f>
      </c>
      <c r="F225" t="str">
        <v/>
      </c>
    </row>
  </sheetData>
  <ignoredErrors>
    <ignoredError numberStoredAsText="1" sqref="A1:J22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B80"/>
  <sheetViews>
    <sheetView workbookViewId="0"/>
  </sheetViews>
  <cols>
    <col min="1" max="1" width="6.83203125" customWidth="1"/>
    <col min="2" max="2" width="30.83203125" customWidth="1"/>
  </cols>
  <sheetData>
    <row r="1">
      <c r="A1" t="str">
        <v>ELIMINATORIAS — Predicción de equipos que pasan a cada ronda</v>
      </c>
    </row>
    <row r="2">
      <c r="A2" t="str">
        <v>Llena los nombres de los equipos que crees que clasifican a cada ronda.</v>
      </c>
    </row>
    <row r="3">
      <c r="A3" t="str">
        <v>Para R32 ya tienes la guía de la hoja FASE_DE_GRUPOS (top 2 + 8 mejores 3ros = 32 equipos).</v>
      </c>
    </row>
    <row r="5">
      <c r="A5" t="str">
        <v>DIECISEISAVOS DE FINAL (R32) — 32 equipos clasificados</v>
      </c>
    </row>
    <row r="6">
      <c r="A6" t="str">
        <v>#</v>
      </c>
      <c r="B6" t="str">
        <v>Equipo</v>
      </c>
    </row>
    <row r="7">
      <c r="A7">
        <v>1</v>
      </c>
      <c r="B7" t="str">
        <v/>
      </c>
    </row>
    <row r="8">
      <c r="A8">
        <v>2</v>
      </c>
      <c r="B8" t="str">
        <v/>
      </c>
    </row>
    <row r="9">
      <c r="A9">
        <v>3</v>
      </c>
      <c r="B9" t="str">
        <v/>
      </c>
    </row>
    <row r="10">
      <c r="A10">
        <v>4</v>
      </c>
      <c r="B10" t="str">
        <v/>
      </c>
    </row>
    <row r="11">
      <c r="A11">
        <v>5</v>
      </c>
      <c r="B11" t="str">
        <v/>
      </c>
    </row>
    <row r="12">
      <c r="A12">
        <v>6</v>
      </c>
      <c r="B12" t="str">
        <v/>
      </c>
    </row>
    <row r="13">
      <c r="A13">
        <v>7</v>
      </c>
      <c r="B13" t="str">
        <v/>
      </c>
    </row>
    <row r="14">
      <c r="A14">
        <v>8</v>
      </c>
      <c r="B14" t="str">
        <v/>
      </c>
    </row>
    <row r="15">
      <c r="A15">
        <v>9</v>
      </c>
      <c r="B15" t="str">
        <v/>
      </c>
    </row>
    <row r="16">
      <c r="A16">
        <v>10</v>
      </c>
      <c r="B16" t="str">
        <v/>
      </c>
    </row>
    <row r="17">
      <c r="A17">
        <v>11</v>
      </c>
      <c r="B17" t="str">
        <v/>
      </c>
    </row>
    <row r="18">
      <c r="A18">
        <v>12</v>
      </c>
      <c r="B18" t="str">
        <v/>
      </c>
    </row>
    <row r="19">
      <c r="A19">
        <v>13</v>
      </c>
      <c r="B19" t="str">
        <v/>
      </c>
    </row>
    <row r="20">
      <c r="A20">
        <v>14</v>
      </c>
      <c r="B20" t="str">
        <v/>
      </c>
    </row>
    <row r="21">
      <c r="A21">
        <v>15</v>
      </c>
      <c r="B21" t="str">
        <v/>
      </c>
    </row>
    <row r="22">
      <c r="A22">
        <v>16</v>
      </c>
      <c r="B22" t="str">
        <v/>
      </c>
    </row>
    <row r="23">
      <c r="A23">
        <v>17</v>
      </c>
      <c r="B23" t="str">
        <v/>
      </c>
    </row>
    <row r="24">
      <c r="A24">
        <v>18</v>
      </c>
      <c r="B24" t="str">
        <v/>
      </c>
    </row>
    <row r="25">
      <c r="A25">
        <v>19</v>
      </c>
      <c r="B25" t="str">
        <v/>
      </c>
    </row>
    <row r="26">
      <c r="A26">
        <v>20</v>
      </c>
      <c r="B26" t="str">
        <v/>
      </c>
    </row>
    <row r="27">
      <c r="A27">
        <v>21</v>
      </c>
      <c r="B27" t="str">
        <v/>
      </c>
    </row>
    <row r="28">
      <c r="A28">
        <v>22</v>
      </c>
      <c r="B28" t="str">
        <v/>
      </c>
    </row>
    <row r="29">
      <c r="A29">
        <v>23</v>
      </c>
      <c r="B29" t="str">
        <v/>
      </c>
    </row>
    <row r="30">
      <c r="A30">
        <v>24</v>
      </c>
      <c r="B30" t="str">
        <v/>
      </c>
    </row>
    <row r="31">
      <c r="A31">
        <v>25</v>
      </c>
      <c r="B31" t="str">
        <v/>
      </c>
    </row>
    <row r="32">
      <c r="A32">
        <v>26</v>
      </c>
      <c r="B32" t="str">
        <v/>
      </c>
    </row>
    <row r="33">
      <c r="A33">
        <v>27</v>
      </c>
      <c r="B33" t="str">
        <v/>
      </c>
    </row>
    <row r="34">
      <c r="A34">
        <v>28</v>
      </c>
      <c r="B34" t="str">
        <v/>
      </c>
    </row>
    <row r="35">
      <c r="A35">
        <v>29</v>
      </c>
      <c r="B35" t="str">
        <v/>
      </c>
    </row>
    <row r="36">
      <c r="A36">
        <v>30</v>
      </c>
      <c r="B36" t="str">
        <v/>
      </c>
    </row>
    <row r="37">
      <c r="A37">
        <v>31</v>
      </c>
      <c r="B37" t="str">
        <v/>
      </c>
    </row>
    <row r="38">
      <c r="A38">
        <v>32</v>
      </c>
      <c r="B38" t="str">
        <v/>
      </c>
    </row>
    <row r="40">
      <c r="A40" t="str">
        <v>OCTAVOS DE FINAL — 16 equipos clasificados</v>
      </c>
    </row>
    <row r="41">
      <c r="A41" t="str">
        <v>#</v>
      </c>
      <c r="B41" t="str">
        <v>Equipo</v>
      </c>
    </row>
    <row r="42">
      <c r="A42">
        <v>1</v>
      </c>
      <c r="B42" t="str">
        <v/>
      </c>
    </row>
    <row r="43">
      <c r="A43">
        <v>2</v>
      </c>
      <c r="B43" t="str">
        <v/>
      </c>
    </row>
    <row r="44">
      <c r="A44">
        <v>3</v>
      </c>
      <c r="B44" t="str">
        <v/>
      </c>
    </row>
    <row r="45">
      <c r="A45">
        <v>4</v>
      </c>
      <c r="B45" t="str">
        <v/>
      </c>
    </row>
    <row r="46">
      <c r="A46">
        <v>5</v>
      </c>
      <c r="B46" t="str">
        <v/>
      </c>
    </row>
    <row r="47">
      <c r="A47">
        <v>6</v>
      </c>
      <c r="B47" t="str">
        <v/>
      </c>
    </row>
    <row r="48">
      <c r="A48">
        <v>7</v>
      </c>
      <c r="B48" t="str">
        <v/>
      </c>
    </row>
    <row r="49">
      <c r="A49">
        <v>8</v>
      </c>
      <c r="B49" t="str">
        <v/>
      </c>
    </row>
    <row r="50">
      <c r="A50">
        <v>9</v>
      </c>
      <c r="B50" t="str">
        <v/>
      </c>
    </row>
    <row r="51">
      <c r="A51">
        <v>10</v>
      </c>
      <c r="B51" t="str">
        <v/>
      </c>
    </row>
    <row r="52">
      <c r="A52">
        <v>11</v>
      </c>
      <c r="B52" t="str">
        <v/>
      </c>
    </row>
    <row r="53">
      <c r="A53">
        <v>12</v>
      </c>
      <c r="B53" t="str">
        <v/>
      </c>
    </row>
    <row r="54">
      <c r="A54">
        <v>13</v>
      </c>
      <c r="B54" t="str">
        <v/>
      </c>
    </row>
    <row r="55">
      <c r="A55">
        <v>14</v>
      </c>
      <c r="B55" t="str">
        <v/>
      </c>
    </row>
    <row r="56">
      <c r="A56">
        <v>15</v>
      </c>
      <c r="B56" t="str">
        <v/>
      </c>
    </row>
    <row r="57">
      <c r="A57">
        <v>16</v>
      </c>
      <c r="B57" t="str">
        <v/>
      </c>
    </row>
    <row r="59">
      <c r="A59" t="str">
        <v>CUARTOS DE FINAL — 8 equipos clasificados</v>
      </c>
    </row>
    <row r="60">
      <c r="A60" t="str">
        <v>#</v>
      </c>
      <c r="B60" t="str">
        <v>Equipo</v>
      </c>
    </row>
    <row r="61">
      <c r="A61">
        <v>1</v>
      </c>
      <c r="B61" t="str">
        <v/>
      </c>
    </row>
    <row r="62">
      <c r="A62">
        <v>2</v>
      </c>
      <c r="B62" t="str">
        <v/>
      </c>
    </row>
    <row r="63">
      <c r="A63">
        <v>3</v>
      </c>
      <c r="B63" t="str">
        <v/>
      </c>
    </row>
    <row r="64">
      <c r="A64">
        <v>4</v>
      </c>
      <c r="B64" t="str">
        <v/>
      </c>
    </row>
    <row r="65">
      <c r="A65">
        <v>5</v>
      </c>
      <c r="B65" t="str">
        <v/>
      </c>
    </row>
    <row r="66">
      <c r="A66">
        <v>6</v>
      </c>
      <c r="B66" t="str">
        <v/>
      </c>
    </row>
    <row r="67">
      <c r="A67">
        <v>7</v>
      </c>
      <c r="B67" t="str">
        <v/>
      </c>
    </row>
    <row r="68">
      <c r="A68">
        <v>8</v>
      </c>
      <c r="B68" t="str">
        <v/>
      </c>
    </row>
    <row r="70">
      <c r="A70" t="str">
        <v>SEMIFINALES — 4 equipos clasificados</v>
      </c>
    </row>
    <row r="71">
      <c r="A71" t="str">
        <v>#</v>
      </c>
      <c r="B71" t="str">
        <v>Equipo</v>
      </c>
    </row>
    <row r="72">
      <c r="A72">
        <v>1</v>
      </c>
      <c r="B72" t="str">
        <v/>
      </c>
    </row>
    <row r="73">
      <c r="A73">
        <v>2</v>
      </c>
      <c r="B73" t="str">
        <v/>
      </c>
    </row>
    <row r="74">
      <c r="A74">
        <v>3</v>
      </c>
      <c r="B74" t="str">
        <v/>
      </c>
    </row>
    <row r="75">
      <c r="A75">
        <v>4</v>
      </c>
      <c r="B75" t="str">
        <v/>
      </c>
    </row>
    <row r="77">
      <c r="A77" t="str">
        <v>FINAL — 2 equipos clasificados</v>
      </c>
    </row>
    <row r="78">
      <c r="A78" t="str">
        <v>#</v>
      </c>
      <c r="B78" t="str">
        <v>Equipo</v>
      </c>
    </row>
    <row r="79">
      <c r="A79">
        <v>1</v>
      </c>
      <c r="B79" t="str">
        <v/>
      </c>
    </row>
    <row r="80">
      <c r="A80">
        <v>2</v>
      </c>
      <c r="B80" t="str">
        <v/>
      </c>
    </row>
  </sheetData>
  <ignoredErrors>
    <ignoredError numberStoredAsText="1" sqref="A1:B8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cols>
    <col min="1" max="1" width="22.83203125" customWidth="1"/>
    <col min="2" max="2" width="30.83203125" customWidth="1"/>
  </cols>
  <sheetData>
    <row r="1">
      <c r="A1" t="str">
        <v>POSICIONES FINALES DEL MUNDIAL</v>
      </c>
    </row>
    <row r="3">
      <c r="A3" t="str">
        <v>1° (Campeón)</v>
      </c>
      <c r="B3" t="str">
        <v/>
      </c>
    </row>
    <row r="4">
      <c r="A4" t="str">
        <v>2° (Subcampeón)</v>
      </c>
      <c r="B4" t="str">
        <v/>
      </c>
    </row>
    <row r="5">
      <c r="A5" t="str">
        <v>3°</v>
      </c>
      <c r="B5" t="str">
        <v/>
      </c>
    </row>
    <row r="6">
      <c r="A6" t="str">
        <v>4°</v>
      </c>
      <c r="B6" t="str">
        <v/>
      </c>
    </row>
    <row r="8">
      <c r="A8" t="str">
        <v>GOLEADOR DEL MUNDIAL</v>
      </c>
    </row>
    <row r="9">
      <c r="A9" t="str">
        <v>Jugador:</v>
      </c>
      <c r="B9" t="str">
        <v/>
      </c>
    </row>
  </sheetData>
  <ignoredErrors>
    <ignoredError numberStoredAsText="1" sqref="A1:B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JUGADOR</vt:lpstr>
      <vt:lpstr>FASE_DE_GRUPOS</vt:lpstr>
      <vt:lpstr>ELIMINATORIAS</vt:lpstr>
      <vt:lpstr>TOP_GOLEADOR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