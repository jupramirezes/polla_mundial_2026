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JUGADOR" state="visible" r:id="rId5"/>
    <sheet sheetId="3" name="FASE_DE_GRUPOS" state="visible" r:id="rId6"/>
    <sheet sheetId="4" name="ELIMINATORIAS" state="visible" r:id="rId7"/>
    <sheet sheetId="5" name="TOP_GOLEADOR" state="visible" r:id="rId8"/>
  </sheets>
  <calcPr calcId="171027"/>
</workbook>
</file>

<file path=xl/sharedStrings.xml><?xml version="1.0" encoding="utf-8"?>
<sst xmlns="http://schemas.openxmlformats.org/spreadsheetml/2006/main" count="577" uniqueCount="156">
  <si>
    <t>POLLA MUNDIAL 2026 — INSTRUCCIONES Y SISTEMA DE PUNTOS</t>
  </si>
  <si>
    <t>Total a repartir: 1.160 puntos</t>
  </si>
  <si>
    <t>Categoría</t>
  </si>
  <si>
    <t>Pts c/u</t>
  </si>
  <si>
    <t>Cant.</t>
  </si>
  <si>
    <t>Total</t>
  </si>
  <si>
    <t>Acertar ganador del partido (1X2)</t>
  </si>
  <si>
    <t>Bonus marcador exacto (sobre el anterior)</t>
  </si>
  <si>
    <t>Posición en el grupo: 1°</t>
  </si>
  <si>
    <t>Posición en el grupo: 2°</t>
  </si>
  <si>
    <t>Posición en el grupo: 3°</t>
  </si>
  <si>
    <t>Posición en el grupo: 4°</t>
  </si>
  <si>
    <t>Clasificado a R32 (dieciseisavos)</t>
  </si>
  <si>
    <t>Clasificado a octavos</t>
  </si>
  <si>
    <t>Clasificado a cuartos</t>
  </si>
  <si>
    <t>Clasificado a semis</t>
  </si>
  <si>
    <t>Clasificado a la final</t>
  </si>
  <si>
    <t>Marcador en partidos de eliminatorias (32 partidos)</t>
  </si>
  <si>
    <t>2 + 3</t>
  </si>
  <si>
    <t>Campeón</t>
  </si>
  <si>
    <t>Subcampeón</t>
  </si>
  <si>
    <t>Tercer lugar</t>
  </si>
  <si>
    <t>Cuarto lugar</t>
  </si>
  <si>
    <t>Goleador del mundial</t>
  </si>
  <si>
    <t>TOTAL</t>
  </si>
  <si>
    <t/>
  </si>
  <si>
    <t>Cómo se usa este archivo:</t>
  </si>
  <si>
    <t>1. Llena tus datos en la hoja JUGADOR.</t>
  </si>
  <si>
    <t>2. En FASE_DE_GRUPOS, llena los marcadores de los 72 partidos (celdas amarillas).</t>
  </si>
  <si>
    <t xml:space="preserve">   Las tablas de posiciones, R32 clasificados (top 2 + 8 mejores 3ros) se calculan SOLAS.</t>
  </si>
  <si>
    <t>3. En ELIMINATORIAS, llena los 16 a octavos, 8 a cuartos, 4 a semis y 2 a final.</t>
  </si>
  <si>
    <t>4. En TOP_GOLEADOR, llena el top 4 final y el goleador.</t>
  </si>
  <si>
    <t>5. Manda el archivo al admin o súbelo en la web.</t>
  </si>
  <si>
    <t>Código de colores:</t>
  </si>
  <si>
    <t>🟡 Amarillo = celdas que TÚ llenas</t>
  </si>
  <si>
    <t>🔵 Azul = celdas auto-calculadas (no las toques)</t>
  </si>
  <si>
    <t>Notas de puntuación:</t>
  </si>
  <si>
    <t>• Predecir 2-1 cuando termina 2-1 → 5 pts (2 ganador + 3 marcador exacto).</t>
  </si>
  <si>
    <t>• Predecir 2-1 cuando termina 3-0 → 2 pts (acierta ganador, no marcador).</t>
  </si>
  <si>
    <t>• En eliminatorias, los puntos por marcador funcionan IGUAL que en grupos.</t>
  </si>
  <si>
    <t>• Si hay empate de goleadores, todos los que predijeron a cualquiera ganan los 50.</t>
  </si>
  <si>
    <t>DATOS DEL JUGADOR</t>
  </si>
  <si>
    <t>Nombre completo:</t>
  </si>
  <si>
    <t>Email:</t>
  </si>
  <si>
    <t>Celular:</t>
  </si>
  <si>
    <t>FASE DE GRUPOS — 72 PARTIDOS</t>
  </si>
  <si>
    <t>🟡 Llena solo las columnas GL y GV. 🔵 Las posiciones y clasificados se calculan solos.</t>
  </si>
  <si>
    <t>GRUPO A: México · Sudáfrica · Corea del Sur · Chequia</t>
  </si>
  <si>
    <t>#</t>
  </si>
  <si>
    <t>Local</t>
  </si>
  <si>
    <t>vs</t>
  </si>
  <si>
    <t>Visitante</t>
  </si>
  <si>
    <t>GL</t>
  </si>
  <si>
    <t>GV</t>
  </si>
  <si>
    <t>México</t>
  </si>
  <si>
    <t>Sudáfrica</t>
  </si>
  <si>
    <t>Corea del Sur</t>
  </si>
  <si>
    <t>Chequia</t>
  </si>
  <si>
    <t>Pos</t>
  </si>
  <si>
    <t>Equipo</t>
  </si>
  <si>
    <t>PJ</t>
  </si>
  <si>
    <t>G</t>
  </si>
  <si>
    <t>E</t>
  </si>
  <si>
    <t>P</t>
  </si>
  <si>
    <t>GF</t>
  </si>
  <si>
    <t>GC</t>
  </si>
  <si>
    <t>DG</t>
  </si>
  <si>
    <t>Pts</t>
  </si>
  <si>
    <t>GRUPO B: Canadá · Bosnia y Herzegovina · Qatar · Suiza</t>
  </si>
  <si>
    <t>Canadá</t>
  </si>
  <si>
    <t>Bosnia y Herzegovina</t>
  </si>
  <si>
    <t>Qatar</t>
  </si>
  <si>
    <t>Suiza</t>
  </si>
  <si>
    <t>GRUPO C: Brasil · Marruecos · Haití · Escocia</t>
  </si>
  <si>
    <t>Brasil</t>
  </si>
  <si>
    <t>Marruecos</t>
  </si>
  <si>
    <t>Haití</t>
  </si>
  <si>
    <t>Escocia</t>
  </si>
  <si>
    <t>GRUPO D: Estados Unidos · Paraguay · Australia · Turquía</t>
  </si>
  <si>
    <t>Estados Unidos</t>
  </si>
  <si>
    <t>Paraguay</t>
  </si>
  <si>
    <t>Australia</t>
  </si>
  <si>
    <t>Turquía</t>
  </si>
  <si>
    <t>GRUPO E: Alemania · Curazao · Costa de Marfil · Ecuador</t>
  </si>
  <si>
    <t>Alemania</t>
  </si>
  <si>
    <t>Curazao</t>
  </si>
  <si>
    <t>Costa de Marfil</t>
  </si>
  <si>
    <t>Ecuador</t>
  </si>
  <si>
    <t>GRUPO F: Países Bajos · Japón · Suecia · Túnez</t>
  </si>
  <si>
    <t>Países Bajos</t>
  </si>
  <si>
    <t>Japón</t>
  </si>
  <si>
    <t>Suecia</t>
  </si>
  <si>
    <t>Túnez</t>
  </si>
  <si>
    <t>GRUPO G: Bélgica · Egipto · Irán · Nueva Zelanda</t>
  </si>
  <si>
    <t>Bélgica</t>
  </si>
  <si>
    <t>Egipto</t>
  </si>
  <si>
    <t>Irán</t>
  </si>
  <si>
    <t>Nueva Zelanda</t>
  </si>
  <si>
    <t>GRUPO H: España · Cabo Verde · Arabia Saudí · Uruguay</t>
  </si>
  <si>
    <t>España</t>
  </si>
  <si>
    <t>Cabo Verde</t>
  </si>
  <si>
    <t>Arabia Saudí</t>
  </si>
  <si>
    <t>Uruguay</t>
  </si>
  <si>
    <t>GRUPO I: Francia · Senegal · Iraq · Noruega</t>
  </si>
  <si>
    <t>Francia</t>
  </si>
  <si>
    <t>Senegal</t>
  </si>
  <si>
    <t>Iraq</t>
  </si>
  <si>
    <t>Noruega</t>
  </si>
  <si>
    <t>GRUPO J: Argentina · Argelia · Austria · Jordania</t>
  </si>
  <si>
    <t>Argentina</t>
  </si>
  <si>
    <t>Argelia</t>
  </si>
  <si>
    <t>Austria</t>
  </si>
  <si>
    <t>Jordania</t>
  </si>
  <si>
    <t>GRUPO K: Portugal · RD del Congo · Uzbekistán · Colombia</t>
  </si>
  <si>
    <t>Portugal</t>
  </si>
  <si>
    <t>RD del Congo</t>
  </si>
  <si>
    <t>Uzbekistán</t>
  </si>
  <si>
    <t>Colombia</t>
  </si>
  <si>
    <t>GRUPO L: Inglaterra · Croacia · Ghana · Panamá</t>
  </si>
  <si>
    <t>Inglaterra</t>
  </si>
  <si>
    <t>Croacia</t>
  </si>
  <si>
    <t>Ghana</t>
  </si>
  <si>
    <t>Panamá</t>
  </si>
  <si>
    <t>CLASIFICADOS A R32 (auto-calculado)</t>
  </si>
  <si>
    <t>Top 2 por grupo (24 equipos)</t>
  </si>
  <si>
    <t>Grupo</t>
  </si>
  <si>
    <t>1°</t>
  </si>
  <si>
    <t>2°</t>
  </si>
  <si>
    <t>A</t>
  </si>
  <si>
    <t>B</t>
  </si>
  <si>
    <t>C</t>
  </si>
  <si>
    <t>D</t>
  </si>
  <si>
    <t>F</t>
  </si>
  <si>
    <t>H</t>
  </si>
  <si>
    <t>I</t>
  </si>
  <si>
    <t>J</t>
  </si>
  <si>
    <t>K</t>
  </si>
  <si>
    <t>L</t>
  </si>
  <si>
    <t>8 mejores 3ros — el ranking se hace globalmente por Pts → DG → GF</t>
  </si>
  <si>
    <t>3° (auto)</t>
  </si>
  <si>
    <t>¿Pasa?</t>
  </si>
  <si>
    <t>ELIMINATORIAS — Predicción de clasificados por ronda</t>
  </si>
  <si>
    <t>Llena los equipos que crees que clasifican a cada ronda. (Los marcadores de cada partido se llenan en VIVO en la web.)</t>
  </si>
  <si>
    <t>DIECISEISAVOS (R32) — 32 equipos</t>
  </si>
  <si>
    <t>OCTAVOS — 16 equipos</t>
  </si>
  <si>
    <t>CUARTOS — 8 equipos</t>
  </si>
  <si>
    <t>SEMIFINALES — 4 equipos</t>
  </si>
  <si>
    <t>FINAL — 2 equipos</t>
  </si>
  <si>
    <t>POSICIONES FINALES + GOLEADOR</t>
  </si>
  <si>
    <t>POSICIONES FINALES DEL MUNDIAL</t>
  </si>
  <si>
    <t>1° (Campeón)  (90 pts)</t>
  </si>
  <si>
    <t>2° (Subcampeón)  (60 pts)</t>
  </si>
  <si>
    <t>3°  (40 pts)</t>
  </si>
  <si>
    <t>4°  (28 pts)</t>
  </si>
  <si>
    <t>GOLEADOR DEL MUNDIAL</t>
  </si>
  <si>
    <t>Jugador  (50 pts)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</si>
</sst>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2"/>
    </font>
    <font>
      <b/>
      <color rgb="FFFFFFFF"/>
      <sz val="10"/>
    </font>
    <font>
      <i/>
    </font>
    <font>
      <b/>
      <sz val="11"/>
    </font>
    <font>
      <color rgb="FF1E3A8A"/>
    </font>
    <font>
      <b/>
    </font>
    <font>
      <i/>
      <sz val="10"/>
    </font>
    <font>
      <b/>
      <color rgb="FFFFFFFF"/>
      <sz val="12"/>
    </font>
    <font>
      <b/>
      <color rgb="FF1E3A8A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5" fillId="3" borderId="0" xfId="0" applyFont="1" applyFill="1"/>
    <xf numFmtId="0" fontId="5" fillId="0" borderId="0" xfId="0" applyFont="1"/>
    <xf numFmtId="0" fontId="0" fillId="4" borderId="1" xfId="0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color rgb="FFFFFFFF"/>
      </font>
      <fill>
        <patternFill patternType="solid">
          <fgColor rgb="FF15803D"/>
        </patternFill>
      </fill>
    </dxf>
    <dxf>
      <font>
        <color rgb="FF6B7280"/>
      </font>
      <fill>
        <patternFill patternType="solid">
          <fgColor rgb="FFF8FA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4" width="12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4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x14ac:dyDescent="0.25">
      <c r="A6" t="s">
        <v>6</v>
      </c>
      <c r="B6">
        <v>2</v>
      </c>
      <c r="C6">
        <v>72</v>
      </c>
      <c r="D6">
        <v>144</v>
      </c>
    </row>
    <row r="7" spans="1:4" x14ac:dyDescent="0.25">
      <c r="A7" t="s">
        <v>7</v>
      </c>
      <c r="B7">
        <v>3</v>
      </c>
      <c r="C7">
        <v>72</v>
      </c>
      <c r="D7">
        <v>216</v>
      </c>
    </row>
    <row r="8" spans="1:4" x14ac:dyDescent="0.25">
      <c r="A8" s="4" t="s">
        <v>8</v>
      </c>
      <c r="B8">
        <v>4</v>
      </c>
      <c r="C8">
        <v>12</v>
      </c>
      <c r="D8">
        <v>48</v>
      </c>
    </row>
    <row r="9" spans="1:4" x14ac:dyDescent="0.25">
      <c r="A9" s="4" t="s">
        <v>9</v>
      </c>
      <c r="B9">
        <v>3</v>
      </c>
      <c r="C9">
        <v>12</v>
      </c>
      <c r="D9">
        <v>36</v>
      </c>
    </row>
    <row r="10" spans="1:4" x14ac:dyDescent="0.25">
      <c r="A10" s="4" t="s">
        <v>10</v>
      </c>
      <c r="B10">
        <v>2</v>
      </c>
      <c r="C10">
        <v>12</v>
      </c>
      <c r="D10">
        <v>24</v>
      </c>
    </row>
    <row r="11" spans="1:4" x14ac:dyDescent="0.25">
      <c r="A11" s="4" t="s">
        <v>11</v>
      </c>
      <c r="B11">
        <v>1</v>
      </c>
      <c r="C11">
        <v>12</v>
      </c>
      <c r="D11">
        <v>12</v>
      </c>
    </row>
    <row r="12" spans="1:4" x14ac:dyDescent="0.25">
      <c r="A12" t="s">
        <v>12</v>
      </c>
      <c r="B12">
        <v>2</v>
      </c>
      <c r="C12">
        <v>32</v>
      </c>
      <c r="D12">
        <v>64</v>
      </c>
    </row>
    <row r="13" spans="1:4" x14ac:dyDescent="0.25">
      <c r="A13" t="s">
        <v>13</v>
      </c>
      <c r="B13">
        <v>3</v>
      </c>
      <c r="C13">
        <v>16</v>
      </c>
      <c r="D13">
        <v>48</v>
      </c>
    </row>
    <row r="14" spans="1:4" x14ac:dyDescent="0.25">
      <c r="A14" t="s">
        <v>14</v>
      </c>
      <c r="B14">
        <v>6</v>
      </c>
      <c r="C14">
        <v>8</v>
      </c>
      <c r="D14">
        <v>48</v>
      </c>
    </row>
    <row r="15" spans="1:4" x14ac:dyDescent="0.25">
      <c r="A15" t="s">
        <v>15</v>
      </c>
      <c r="B15">
        <v>12</v>
      </c>
      <c r="C15">
        <v>4</v>
      </c>
      <c r="D15">
        <v>48</v>
      </c>
    </row>
    <row r="16" spans="1:4" x14ac:dyDescent="0.25">
      <c r="A16" t="s">
        <v>16</v>
      </c>
      <c r="B16">
        <v>22</v>
      </c>
      <c r="C16">
        <v>2</v>
      </c>
      <c r="D16">
        <v>44</v>
      </c>
    </row>
    <row r="17" spans="1:4" x14ac:dyDescent="0.25">
      <c r="A17" t="s">
        <v>17</v>
      </c>
      <c r="B17" t="s">
        <v>18</v>
      </c>
      <c r="C17">
        <v>32</v>
      </c>
      <c r="D17">
        <v>160</v>
      </c>
    </row>
    <row r="18" spans="1:4" x14ac:dyDescent="0.25">
      <c r="A18" t="s">
        <v>19</v>
      </c>
      <c r="B18">
        <v>90</v>
      </c>
      <c r="C18">
        <v>1</v>
      </c>
      <c r="D18">
        <v>90</v>
      </c>
    </row>
    <row r="19" spans="1:4" x14ac:dyDescent="0.25">
      <c r="A19" t="s">
        <v>20</v>
      </c>
      <c r="B19">
        <v>60</v>
      </c>
      <c r="C19">
        <v>1</v>
      </c>
      <c r="D19">
        <v>60</v>
      </c>
    </row>
    <row r="20" spans="1:4" x14ac:dyDescent="0.25">
      <c r="A20" t="s">
        <v>21</v>
      </c>
      <c r="B20">
        <v>40</v>
      </c>
      <c r="C20">
        <v>1</v>
      </c>
      <c r="D20">
        <v>40</v>
      </c>
    </row>
    <row r="21" spans="1:4" x14ac:dyDescent="0.25">
      <c r="A21" t="s">
        <v>22</v>
      </c>
      <c r="B21">
        <v>28</v>
      </c>
      <c r="C21">
        <v>1</v>
      </c>
      <c r="D21">
        <v>28</v>
      </c>
    </row>
    <row r="22" spans="1:4" x14ac:dyDescent="0.25">
      <c r="A22" t="s">
        <v>23</v>
      </c>
      <c r="B22">
        <v>50</v>
      </c>
      <c r="C22">
        <v>1</v>
      </c>
      <c r="D22">
        <v>50</v>
      </c>
    </row>
    <row r="23" spans="1:4" x14ac:dyDescent="0.25">
      <c r="A23" s="5" t="s">
        <v>24</v>
      </c>
      <c r="B23" s="5" t="s">
        <v>25</v>
      </c>
      <c r="C23" s="5" t="s">
        <v>25</v>
      </c>
      <c r="D23" s="5">
        <v>1160</v>
      </c>
    </row>
    <row r="25" spans="1:1" x14ac:dyDescent="0.25">
      <c r="A25" s="6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3" spans="1:1" x14ac:dyDescent="0.25">
      <c r="A33" s="6" t="s">
        <v>33</v>
      </c>
    </row>
    <row r="34" spans="1:1" x14ac:dyDescent="0.25">
      <c r="A34" s="7" t="s">
        <v>34</v>
      </c>
    </row>
    <row r="35" spans="1:1" x14ac:dyDescent="0.25">
      <c r="A35" s="8" t="s">
        <v>35</v>
      </c>
    </row>
    <row r="37" spans="1:1" x14ac:dyDescent="0.25">
      <c r="A37" s="6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customWidth="1"/>
    <col min="2" max="2" width="45" customWidth="1"/>
  </cols>
  <sheetData>
    <row r="1" ht="28" customHeight="1" spans="1:2" x14ac:dyDescent="0.25">
      <c r="A1" s="1" t="s">
        <v>41</v>
      </c>
      <c r="B1" s="1"/>
    </row>
    <row r="3" spans="1:2" x14ac:dyDescent="0.25">
      <c r="A3" s="9" t="s">
        <v>42</v>
      </c>
      <c r="B3" s="7"/>
    </row>
    <row r="4" spans="1:2" x14ac:dyDescent="0.25">
      <c r="A4" s="9" t="s">
        <v>43</v>
      </c>
      <c r="B4" s="7"/>
    </row>
    <row r="5" spans="1:2" x14ac:dyDescent="0.25">
      <c r="A5" s="9" t="s">
        <v>44</v>
      </c>
      <c r="B5" s="7"/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4" customWidth="1"/>
    <col min="4" max="4" width="24" customWidth="1"/>
    <col min="5" max="10" width="6" customWidth="1"/>
  </cols>
  <sheetData>
    <row r="1" ht="28" customHeight="1" spans="1:10" x14ac:dyDescent="0.2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0" t="s">
        <v>46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x14ac:dyDescent="0.25">
      <c r="A4" s="11" t="s">
        <v>47</v>
      </c>
      <c r="B4" s="11"/>
      <c r="C4" s="11"/>
      <c r="D4" s="11"/>
      <c r="E4" s="11"/>
      <c r="F4" s="11"/>
      <c r="G4" s="11"/>
      <c r="H4" s="11"/>
      <c r="I4" s="11"/>
      <c r="J4" s="11"/>
    </row>
    <row r="5" spans="1:6" x14ac:dyDescent="0.25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</row>
    <row r="6" spans="1:6" x14ac:dyDescent="0.25">
      <c r="A6" s="12">
        <v>1</v>
      </c>
      <c r="B6" t="s">
        <v>54</v>
      </c>
      <c r="C6" s="12" t="s">
        <v>50</v>
      </c>
      <c r="D6" t="s">
        <v>55</v>
      </c>
      <c r="E6" s="7"/>
      <c r="F6" s="7"/>
    </row>
    <row r="7" spans="1:6" x14ac:dyDescent="0.25">
      <c r="A7" s="12">
        <v>2</v>
      </c>
      <c r="B7" t="s">
        <v>54</v>
      </c>
      <c r="C7" s="12" t="s">
        <v>50</v>
      </c>
      <c r="D7" t="s">
        <v>56</v>
      </c>
      <c r="E7" s="7"/>
      <c r="F7" s="7"/>
    </row>
    <row r="8" spans="1:6" x14ac:dyDescent="0.25">
      <c r="A8" s="12">
        <v>3</v>
      </c>
      <c r="B8" t="s">
        <v>54</v>
      </c>
      <c r="C8" s="12" t="s">
        <v>50</v>
      </c>
      <c r="D8" t="s">
        <v>57</v>
      </c>
      <c r="E8" s="7"/>
      <c r="F8" s="7"/>
    </row>
    <row r="9" spans="1:6" x14ac:dyDescent="0.25">
      <c r="A9" s="12">
        <v>4</v>
      </c>
      <c r="B9" t="s">
        <v>55</v>
      </c>
      <c r="C9" s="12" t="s">
        <v>50</v>
      </c>
      <c r="D9" t="s">
        <v>56</v>
      </c>
      <c r="E9" s="7"/>
      <c r="F9" s="7"/>
    </row>
    <row r="10" spans="1:6" x14ac:dyDescent="0.25">
      <c r="A10" s="12">
        <v>5</v>
      </c>
      <c r="B10" t="s">
        <v>55</v>
      </c>
      <c r="C10" s="12" t="s">
        <v>50</v>
      </c>
      <c r="D10" t="s">
        <v>57</v>
      </c>
      <c r="E10" s="7"/>
      <c r="F10" s="7"/>
    </row>
    <row r="11" spans="1:6" x14ac:dyDescent="0.25">
      <c r="A11" s="12">
        <v>6</v>
      </c>
      <c r="B11" t="s">
        <v>56</v>
      </c>
      <c r="C11" s="12" t="s">
        <v>50</v>
      </c>
      <c r="D11" t="s">
        <v>57</v>
      </c>
      <c r="E11" s="7"/>
      <c r="F11" s="7"/>
    </row>
    <row r="13" spans="1:10" x14ac:dyDescent="0.25">
      <c r="A13" s="3" t="s">
        <v>58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63</v>
      </c>
      <c r="G13" s="3" t="s">
        <v>64</v>
      </c>
      <c r="H13" s="3" t="s">
        <v>65</v>
      </c>
      <c r="I13" s="3" t="s">
        <v>66</v>
      </c>
      <c r="J13" s="3" t="s">
        <v>67</v>
      </c>
    </row>
    <row r="14" spans="1:10" x14ac:dyDescent="0.25">
      <c r="A14" s="13">
        <f>SUMPRODUCT((J14:J17&gt;J14)*1)+SUMPRODUCT((J14:J17=J14)*(I14:I17&gt;I14))+SUMPRODUCT((J14:J17=J14)*(I14:I17=I14)*(G14:G17&gt;G14))+1</f>
      </c>
      <c r="B14" s="14" t="s">
        <v>54</v>
      </c>
      <c r="C14" s="8">
        <f>D14+E14+F14</f>
      </c>
      <c r="D14" s="8">
        <f>SUMPRODUCT(($B$6:$B$11="México")*($E$6:$E$11&gt;$F$6:$F$11)*($E$6:$E$11&lt;&gt;"")*($F$6:$F$11&lt;&gt;""))+SUMPRODUCT(($D$6:$D$11="México")*($F$6:$F$11&gt;$E$6:$E$11)*($E$6:$E$11&lt;&gt;"")*($F$6:$F$11&lt;&gt;""))</f>
      </c>
      <c r="E14" s="8">
        <f>SUMPRODUCT((($B$6:$B$11="México")+($D$6:$D$11="México"))*($E$6:$E$11=$F$6:$F$11)*($E$6:$E$11&lt;&gt;"")*($F$6:$F$11&lt;&gt;""))</f>
      </c>
      <c r="F14" s="8">
        <f>SUMPRODUCT(($B$6:$B$11="México")*($E$6:$E$11&lt;$F$6:$F$11)*($E$6:$E$11&lt;&gt;"")*($F$6:$F$11&lt;&gt;""))+SUMPRODUCT(($D$6:$D$11="México")*($F$6:$F$11&lt;$E$6:$E$11)*($E$6:$E$11&lt;&gt;"")*($F$6:$F$11&lt;&gt;""))</f>
      </c>
      <c r="G14" s="8">
        <f>SUMPRODUCT(($B$6:$B$11="México")*$E$6:$E$11*($E$6:$E$11&lt;&gt;"")*($F$6:$F$11&lt;&gt;""))+SUMPRODUCT(($D$6:$D$11="México")*$F$6:$F$11*($E$6:$E$11&lt;&gt;"")*($F$6:$F$11&lt;&gt;""))</f>
      </c>
      <c r="H14" s="8">
        <f>SUMPRODUCT(($B$6:$B$11="México")*$F$6:$F$11*($E$6:$E$11&lt;&gt;"")*($F$6:$F$11&lt;&gt;""))+SUMPRODUCT(($D$6:$D$11="México")*$E$6:$E$11*($E$6:$E$11&lt;&gt;"")*($F$6:$F$11&lt;&gt;""))</f>
      </c>
      <c r="I14" s="8">
        <f>G14-H14</f>
      </c>
      <c r="J14" s="13">
        <f>D14*3+E14</f>
      </c>
    </row>
    <row r="15" spans="1:10" x14ac:dyDescent="0.25">
      <c r="A15" s="13">
        <f>SUMPRODUCT((J14:J17&gt;J15)*1)+SUMPRODUCT((J14:J17=J15)*(I14:I17&gt;I15))+SUMPRODUCT((J14:J17=J15)*(I14:I17=I15)*(G14:G17&gt;G15))+1</f>
      </c>
      <c r="B15" s="14" t="s">
        <v>55</v>
      </c>
      <c r="C15" s="8">
        <f>D15+E15+F15</f>
      </c>
      <c r="D15" s="8">
        <f>SUMPRODUCT(($B$6:$B$11="Sudáfrica")*($E$6:$E$11&gt;$F$6:$F$11)*($E$6:$E$11&lt;&gt;"")*($F$6:$F$11&lt;&gt;""))+SUMPRODUCT(($D$6:$D$11="Sudáfrica")*($F$6:$F$11&gt;$E$6:$E$11)*($E$6:$E$11&lt;&gt;"")*($F$6:$F$11&lt;&gt;""))</f>
      </c>
      <c r="E15" s="8">
        <f>SUMPRODUCT((($B$6:$B$11="Sudáfrica")+($D$6:$D$11="Sudáfrica"))*($E$6:$E$11=$F$6:$F$11)*($E$6:$E$11&lt;&gt;"")*($F$6:$F$11&lt;&gt;""))</f>
      </c>
      <c r="F15" s="8">
        <f>SUMPRODUCT(($B$6:$B$11="Sudáfrica")*($E$6:$E$11&lt;$F$6:$F$11)*($E$6:$E$11&lt;&gt;"")*($F$6:$F$11&lt;&gt;""))+SUMPRODUCT(($D$6:$D$11="Sudáfrica")*($F$6:$F$11&lt;$E$6:$E$11)*($E$6:$E$11&lt;&gt;"")*($F$6:$F$11&lt;&gt;""))</f>
      </c>
      <c r="G15" s="8">
        <f>SUMPRODUCT(($B$6:$B$11="Sudáfrica")*$E$6:$E$11*($E$6:$E$11&lt;&gt;"")*($F$6:$F$11&lt;&gt;""))+SUMPRODUCT(($D$6:$D$11="Sudáfrica")*$F$6:$F$11*($E$6:$E$11&lt;&gt;"")*($F$6:$F$11&lt;&gt;""))</f>
      </c>
      <c r="H15" s="8">
        <f>SUMPRODUCT(($B$6:$B$11="Sudáfrica")*$F$6:$F$11*($E$6:$E$11&lt;&gt;"")*($F$6:$F$11&lt;&gt;""))+SUMPRODUCT(($D$6:$D$11="Sudáfrica")*$E$6:$E$11*($E$6:$E$11&lt;&gt;"")*($F$6:$F$11&lt;&gt;""))</f>
      </c>
      <c r="I15" s="8">
        <f>G15-H15</f>
      </c>
      <c r="J15" s="13">
        <f>D15*3+E15</f>
      </c>
    </row>
    <row r="16" spans="1:10" x14ac:dyDescent="0.25">
      <c r="A16" s="13">
        <f>SUMPRODUCT((J14:J17&gt;J16)*1)+SUMPRODUCT((J14:J17=J16)*(I14:I17&gt;I16))+SUMPRODUCT((J14:J17=J16)*(I14:I17=I16)*(G14:G17&gt;G16))+1</f>
      </c>
      <c r="B16" s="14" t="s">
        <v>56</v>
      </c>
      <c r="C16" s="8">
        <f>D16+E16+F16</f>
      </c>
      <c r="D16" s="8">
        <f>SUMPRODUCT(($B$6:$B$11="Corea del Sur")*($E$6:$E$11&gt;$F$6:$F$11)*($E$6:$E$11&lt;&gt;"")*($F$6:$F$11&lt;&gt;""))+SUMPRODUCT(($D$6:$D$11="Corea del Sur")*($F$6:$F$11&gt;$E$6:$E$11)*($E$6:$E$11&lt;&gt;"")*($F$6:$F$11&lt;&gt;""))</f>
      </c>
      <c r="E16" s="8">
        <f>SUMPRODUCT((($B$6:$B$11="Corea del Sur")+($D$6:$D$11="Corea del Sur"))*($E$6:$E$11=$F$6:$F$11)*($E$6:$E$11&lt;&gt;"")*($F$6:$F$11&lt;&gt;""))</f>
      </c>
      <c r="F16" s="8">
        <f>SUMPRODUCT(($B$6:$B$11="Corea del Sur")*($E$6:$E$11&lt;$F$6:$F$11)*($E$6:$E$11&lt;&gt;"")*($F$6:$F$11&lt;&gt;""))+SUMPRODUCT(($D$6:$D$11="Corea del Sur")*($F$6:$F$11&lt;$E$6:$E$11)*($E$6:$E$11&lt;&gt;"")*($F$6:$F$11&lt;&gt;""))</f>
      </c>
      <c r="G16" s="8">
        <f>SUMPRODUCT(($B$6:$B$11="Corea del Sur")*$E$6:$E$11*($E$6:$E$11&lt;&gt;"")*($F$6:$F$11&lt;&gt;""))+SUMPRODUCT(($D$6:$D$11="Corea del Sur")*$F$6:$F$11*($E$6:$E$11&lt;&gt;"")*($F$6:$F$11&lt;&gt;""))</f>
      </c>
      <c r="H16" s="8">
        <f>SUMPRODUCT(($B$6:$B$11="Corea del Sur")*$F$6:$F$11*($E$6:$E$11&lt;&gt;"")*($F$6:$F$11&lt;&gt;""))+SUMPRODUCT(($D$6:$D$11="Corea del Sur")*$E$6:$E$11*($E$6:$E$11&lt;&gt;"")*($F$6:$F$11&lt;&gt;""))</f>
      </c>
      <c r="I16" s="8">
        <f>G16-H16</f>
      </c>
      <c r="J16" s="13">
        <f>D16*3+E16</f>
      </c>
    </row>
    <row r="17" spans="1:10" x14ac:dyDescent="0.25">
      <c r="A17" s="13">
        <f>SUMPRODUCT((J14:J17&gt;J17)*1)+SUMPRODUCT((J14:J17=J17)*(I14:I17&gt;I17))+SUMPRODUCT((J14:J17=J17)*(I14:I17=I17)*(G14:G17&gt;G17))+1</f>
      </c>
      <c r="B17" s="14" t="s">
        <v>57</v>
      </c>
      <c r="C17" s="8">
        <f>D17+E17+F17</f>
      </c>
      <c r="D17" s="8">
        <f>SUMPRODUCT(($B$6:$B$11="Chequia")*($E$6:$E$11&gt;$F$6:$F$11)*($E$6:$E$11&lt;&gt;"")*($F$6:$F$11&lt;&gt;""))+SUMPRODUCT(($D$6:$D$11="Chequia")*($F$6:$F$11&gt;$E$6:$E$11)*($E$6:$E$11&lt;&gt;"")*($F$6:$F$11&lt;&gt;""))</f>
      </c>
      <c r="E17" s="8">
        <f>SUMPRODUCT((($B$6:$B$11="Chequia")+($D$6:$D$11="Chequia"))*($E$6:$E$11=$F$6:$F$11)*($E$6:$E$11&lt;&gt;"")*($F$6:$F$11&lt;&gt;""))</f>
      </c>
      <c r="F17" s="8">
        <f>SUMPRODUCT(($B$6:$B$11="Chequia")*($E$6:$E$11&lt;$F$6:$F$11)*($E$6:$E$11&lt;&gt;"")*($F$6:$F$11&lt;&gt;""))+SUMPRODUCT(($D$6:$D$11="Chequia")*($F$6:$F$11&lt;$E$6:$E$11)*($E$6:$E$11&lt;&gt;"")*($F$6:$F$11&lt;&gt;""))</f>
      </c>
      <c r="G17" s="8">
        <f>SUMPRODUCT(($B$6:$B$11="Chequia")*$E$6:$E$11*($E$6:$E$11&lt;&gt;"")*($F$6:$F$11&lt;&gt;""))+SUMPRODUCT(($D$6:$D$11="Chequia")*$F$6:$F$11*($E$6:$E$11&lt;&gt;"")*($F$6:$F$11&lt;&gt;""))</f>
      </c>
      <c r="H17" s="8">
        <f>SUMPRODUCT(($B$6:$B$11="Chequia")*$F$6:$F$11*($E$6:$E$11&lt;&gt;"")*($F$6:$F$11&lt;&gt;""))+SUMPRODUCT(($D$6:$D$11="Chequia")*$E$6:$E$11*($E$6:$E$11&lt;&gt;"")*($F$6:$F$11&lt;&gt;""))</f>
      </c>
      <c r="I17" s="8">
        <f>G17-H17</f>
      </c>
      <c r="J17" s="13">
        <f>D17*3+E17</f>
      </c>
    </row>
    <row r="20" spans="1:10" x14ac:dyDescent="0.25">
      <c r="A20" s="11" t="s">
        <v>68</v>
      </c>
      <c r="B20" s="11"/>
      <c r="C20" s="11"/>
      <c r="D20" s="11"/>
      <c r="E20" s="11"/>
      <c r="F20" s="11"/>
      <c r="G20" s="11"/>
      <c r="H20" s="11"/>
      <c r="I20" s="11"/>
      <c r="J20" s="11"/>
    </row>
    <row r="21" spans="1:6" x14ac:dyDescent="0.25">
      <c r="A21" s="3" t="s">
        <v>48</v>
      </c>
      <c r="B21" s="3" t="s">
        <v>49</v>
      </c>
      <c r="C21" s="3" t="s">
        <v>50</v>
      </c>
      <c r="D21" s="3" t="s">
        <v>51</v>
      </c>
      <c r="E21" s="3" t="s">
        <v>52</v>
      </c>
      <c r="F21" s="3" t="s">
        <v>53</v>
      </c>
    </row>
    <row r="22" spans="1:6" x14ac:dyDescent="0.25">
      <c r="A22" s="12">
        <v>1</v>
      </c>
      <c r="B22" t="s">
        <v>69</v>
      </c>
      <c r="C22" s="12" t="s">
        <v>50</v>
      </c>
      <c r="D22" t="s">
        <v>70</v>
      </c>
      <c r="E22" s="7"/>
      <c r="F22" s="7"/>
    </row>
    <row r="23" spans="1:6" x14ac:dyDescent="0.25">
      <c r="A23" s="12">
        <v>2</v>
      </c>
      <c r="B23" t="s">
        <v>69</v>
      </c>
      <c r="C23" s="12" t="s">
        <v>50</v>
      </c>
      <c r="D23" t="s">
        <v>71</v>
      </c>
      <c r="E23" s="7"/>
      <c r="F23" s="7"/>
    </row>
    <row r="24" spans="1:6" x14ac:dyDescent="0.25">
      <c r="A24" s="12">
        <v>3</v>
      </c>
      <c r="B24" t="s">
        <v>69</v>
      </c>
      <c r="C24" s="12" t="s">
        <v>50</v>
      </c>
      <c r="D24" t="s">
        <v>72</v>
      </c>
      <c r="E24" s="7"/>
      <c r="F24" s="7"/>
    </row>
    <row r="25" spans="1:6" x14ac:dyDescent="0.25">
      <c r="A25" s="12">
        <v>4</v>
      </c>
      <c r="B25" t="s">
        <v>70</v>
      </c>
      <c r="C25" s="12" t="s">
        <v>50</v>
      </c>
      <c r="D25" t="s">
        <v>71</v>
      </c>
      <c r="E25" s="7"/>
      <c r="F25" s="7"/>
    </row>
    <row r="26" spans="1:6" x14ac:dyDescent="0.25">
      <c r="A26" s="12">
        <v>5</v>
      </c>
      <c r="B26" t="s">
        <v>70</v>
      </c>
      <c r="C26" s="12" t="s">
        <v>50</v>
      </c>
      <c r="D26" t="s">
        <v>72</v>
      </c>
      <c r="E26" s="7"/>
      <c r="F26" s="7"/>
    </row>
    <row r="27" spans="1:6" x14ac:dyDescent="0.25">
      <c r="A27" s="12">
        <v>6</v>
      </c>
      <c r="B27" t="s">
        <v>71</v>
      </c>
      <c r="C27" s="12" t="s">
        <v>50</v>
      </c>
      <c r="D27" t="s">
        <v>72</v>
      </c>
      <c r="E27" s="7"/>
      <c r="F27" s="7"/>
    </row>
    <row r="29" spans="1:10" x14ac:dyDescent="0.25">
      <c r="A29" s="3" t="s">
        <v>58</v>
      </c>
      <c r="B29" s="3" t="s">
        <v>59</v>
      </c>
      <c r="C29" s="3" t="s">
        <v>60</v>
      </c>
      <c r="D29" s="3" t="s">
        <v>61</v>
      </c>
      <c r="E29" s="3" t="s">
        <v>62</v>
      </c>
      <c r="F29" s="3" t="s">
        <v>63</v>
      </c>
      <c r="G29" s="3" t="s">
        <v>64</v>
      </c>
      <c r="H29" s="3" t="s">
        <v>65</v>
      </c>
      <c r="I29" s="3" t="s">
        <v>66</v>
      </c>
      <c r="J29" s="3" t="s">
        <v>67</v>
      </c>
    </row>
    <row r="30" spans="1:10" x14ac:dyDescent="0.25">
      <c r="A30" s="13">
        <f>SUMPRODUCT((J30:J33&gt;J30)*1)+SUMPRODUCT((J30:J33=J30)*(I30:I33&gt;I30))+SUMPRODUCT((J30:J33=J30)*(I30:I33=I30)*(G30:G33&gt;G30))+1</f>
      </c>
      <c r="B30" s="14" t="s">
        <v>69</v>
      </c>
      <c r="C30" s="8">
        <f>D30+E30+F30</f>
      </c>
      <c r="D30" s="8">
        <f>SUMPRODUCT(($B$22:$B$27="Canadá")*($E$22:$E$27&gt;$F$22:$F$27)*($E$22:$E$27&lt;&gt;"")*($F$22:$F$27&lt;&gt;""))+SUMPRODUCT(($D$22:$D$27="Canadá")*($F$22:$F$27&gt;$E$22:$E$27)*($E$22:$E$27&lt;&gt;"")*($F$22:$F$27&lt;&gt;""))</f>
      </c>
      <c r="E30" s="8">
        <f>SUMPRODUCT((($B$22:$B$27="Canadá")+($D$22:$D$27="Canadá"))*($E$22:$E$27=$F$22:$F$27)*($E$22:$E$27&lt;&gt;"")*($F$22:$F$27&lt;&gt;""))</f>
      </c>
      <c r="F30" s="8">
        <f>SUMPRODUCT(($B$22:$B$27="Canadá")*($E$22:$E$27&lt;$F$22:$F$27)*($E$22:$E$27&lt;&gt;"")*($F$22:$F$27&lt;&gt;""))+SUMPRODUCT(($D$22:$D$27="Canadá")*($F$22:$F$27&lt;$E$22:$E$27)*($E$22:$E$27&lt;&gt;"")*($F$22:$F$27&lt;&gt;""))</f>
      </c>
      <c r="G30" s="8">
        <f>SUMPRODUCT(($B$22:$B$27="Canadá")*$E$22:$E$27*($E$22:$E$27&lt;&gt;"")*($F$22:$F$27&lt;&gt;""))+SUMPRODUCT(($D$22:$D$27="Canadá")*$F$22:$F$27*($E$22:$E$27&lt;&gt;"")*($F$22:$F$27&lt;&gt;""))</f>
      </c>
      <c r="H30" s="8">
        <f>SUMPRODUCT(($B$22:$B$27="Canadá")*$F$22:$F$27*($E$22:$E$27&lt;&gt;"")*($F$22:$F$27&lt;&gt;""))+SUMPRODUCT(($D$22:$D$27="Canadá")*$E$22:$E$27*($E$22:$E$27&lt;&gt;"")*($F$22:$F$27&lt;&gt;""))</f>
      </c>
      <c r="I30" s="8">
        <f>G30-H30</f>
      </c>
      <c r="J30" s="13">
        <f>D30*3+E30</f>
      </c>
    </row>
    <row r="31" spans="1:10" x14ac:dyDescent="0.25">
      <c r="A31" s="13">
        <f>SUMPRODUCT((J30:J33&gt;J31)*1)+SUMPRODUCT((J30:J33=J31)*(I30:I33&gt;I31))+SUMPRODUCT((J30:J33=J31)*(I30:I33=I31)*(G30:G33&gt;G31))+1</f>
      </c>
      <c r="B31" s="14" t="s">
        <v>70</v>
      </c>
      <c r="C31" s="8">
        <f>D31+E31+F31</f>
      </c>
      <c r="D31" s="8">
        <f>SUMPRODUCT(($B$22:$B$27="Bosnia y Herzegovina")*($E$22:$E$27&gt;$F$22:$F$27)*($E$22:$E$27&lt;&gt;"")*($F$22:$F$27&lt;&gt;""))+SUMPRODUCT(($D$22:$D$27="Bosnia y Herzegovina")*($F$22:$F$27&gt;$E$22:$E$27)*($E$22:$E$27&lt;&gt;"")*($F$22:$F$27&lt;&gt;""))</f>
      </c>
      <c r="E31" s="8">
        <f>SUMPRODUCT((($B$22:$B$27="Bosnia y Herzegovina")+($D$22:$D$27="Bosnia y Herzegovina"))*($E$22:$E$27=$F$22:$F$27)*($E$22:$E$27&lt;&gt;"")*($F$22:$F$27&lt;&gt;""))</f>
      </c>
      <c r="F31" s="8">
        <f>SUMPRODUCT(($B$22:$B$27="Bosnia y Herzegovina")*($E$22:$E$27&lt;$F$22:$F$27)*($E$22:$E$27&lt;&gt;"")*($F$22:$F$27&lt;&gt;""))+SUMPRODUCT(($D$22:$D$27="Bosnia y Herzegovina")*($F$22:$F$27&lt;$E$22:$E$27)*($E$22:$E$27&lt;&gt;"")*($F$22:$F$27&lt;&gt;""))</f>
      </c>
      <c r="G31" s="8">
        <f>SUMPRODUCT(($B$22:$B$27="Bosnia y Herzegovina")*$E$22:$E$27*($E$22:$E$27&lt;&gt;"")*($F$22:$F$27&lt;&gt;""))+SUMPRODUCT(($D$22:$D$27="Bosnia y Herzegovina")*$F$22:$F$27*($E$22:$E$27&lt;&gt;"")*($F$22:$F$27&lt;&gt;""))</f>
      </c>
      <c r="H31" s="8">
        <f>SUMPRODUCT(($B$22:$B$27="Bosnia y Herzegovina")*$F$22:$F$27*($E$22:$E$27&lt;&gt;"")*($F$22:$F$27&lt;&gt;""))+SUMPRODUCT(($D$22:$D$27="Bosnia y Herzegovina")*$E$22:$E$27*($E$22:$E$27&lt;&gt;"")*($F$22:$F$27&lt;&gt;""))</f>
      </c>
      <c r="I31" s="8">
        <f>G31-H31</f>
      </c>
      <c r="J31" s="13">
        <f>D31*3+E31</f>
      </c>
    </row>
    <row r="32" spans="1:10" x14ac:dyDescent="0.25">
      <c r="A32" s="13">
        <f>SUMPRODUCT((J30:J33&gt;J32)*1)+SUMPRODUCT((J30:J33=J32)*(I30:I33&gt;I32))+SUMPRODUCT((J30:J33=J32)*(I30:I33=I32)*(G30:G33&gt;G32))+1</f>
      </c>
      <c r="B32" s="14" t="s">
        <v>71</v>
      </c>
      <c r="C32" s="8">
        <f>D32+E32+F32</f>
      </c>
      <c r="D32" s="8">
        <f>SUMPRODUCT(($B$22:$B$27="Qatar")*($E$22:$E$27&gt;$F$22:$F$27)*($E$22:$E$27&lt;&gt;"")*($F$22:$F$27&lt;&gt;""))+SUMPRODUCT(($D$22:$D$27="Qatar")*($F$22:$F$27&gt;$E$22:$E$27)*($E$22:$E$27&lt;&gt;"")*($F$22:$F$27&lt;&gt;""))</f>
      </c>
      <c r="E32" s="8">
        <f>SUMPRODUCT((($B$22:$B$27="Qatar")+($D$22:$D$27="Qatar"))*($E$22:$E$27=$F$22:$F$27)*($E$22:$E$27&lt;&gt;"")*($F$22:$F$27&lt;&gt;""))</f>
      </c>
      <c r="F32" s="8">
        <f>SUMPRODUCT(($B$22:$B$27="Qatar")*($E$22:$E$27&lt;$F$22:$F$27)*($E$22:$E$27&lt;&gt;"")*($F$22:$F$27&lt;&gt;""))+SUMPRODUCT(($D$22:$D$27="Qatar")*($F$22:$F$27&lt;$E$22:$E$27)*($E$22:$E$27&lt;&gt;"")*($F$22:$F$27&lt;&gt;""))</f>
      </c>
      <c r="G32" s="8">
        <f>SUMPRODUCT(($B$22:$B$27="Qatar")*$E$22:$E$27*($E$22:$E$27&lt;&gt;"")*($F$22:$F$27&lt;&gt;""))+SUMPRODUCT(($D$22:$D$27="Qatar")*$F$22:$F$27*($E$22:$E$27&lt;&gt;"")*($F$22:$F$27&lt;&gt;""))</f>
      </c>
      <c r="H32" s="8">
        <f>SUMPRODUCT(($B$22:$B$27="Qatar")*$F$22:$F$27*($E$22:$E$27&lt;&gt;"")*($F$22:$F$27&lt;&gt;""))+SUMPRODUCT(($D$22:$D$27="Qatar")*$E$22:$E$27*($E$22:$E$27&lt;&gt;"")*($F$22:$F$27&lt;&gt;""))</f>
      </c>
      <c r="I32" s="8">
        <f>G32-H32</f>
      </c>
      <c r="J32" s="13">
        <f>D32*3+E32</f>
      </c>
    </row>
    <row r="33" spans="1:10" x14ac:dyDescent="0.25">
      <c r="A33" s="13">
        <f>SUMPRODUCT((J30:J33&gt;J33)*1)+SUMPRODUCT((J30:J33=J33)*(I30:I33&gt;I33))+SUMPRODUCT((J30:J33=J33)*(I30:I33=I33)*(G30:G33&gt;G33))+1</f>
      </c>
      <c r="B33" s="14" t="s">
        <v>72</v>
      </c>
      <c r="C33" s="8">
        <f>D33+E33+F33</f>
      </c>
      <c r="D33" s="8">
        <f>SUMPRODUCT(($B$22:$B$27="Suiza")*($E$22:$E$27&gt;$F$22:$F$27)*($E$22:$E$27&lt;&gt;"")*($F$22:$F$27&lt;&gt;""))+SUMPRODUCT(($D$22:$D$27="Suiza")*($F$22:$F$27&gt;$E$22:$E$27)*($E$22:$E$27&lt;&gt;"")*($F$22:$F$27&lt;&gt;""))</f>
      </c>
      <c r="E33" s="8">
        <f>SUMPRODUCT((($B$22:$B$27="Suiza")+($D$22:$D$27="Suiza"))*($E$22:$E$27=$F$22:$F$27)*($E$22:$E$27&lt;&gt;"")*($F$22:$F$27&lt;&gt;""))</f>
      </c>
      <c r="F33" s="8">
        <f>SUMPRODUCT(($B$22:$B$27="Suiza")*($E$22:$E$27&lt;$F$22:$F$27)*($E$22:$E$27&lt;&gt;"")*($F$22:$F$27&lt;&gt;""))+SUMPRODUCT(($D$22:$D$27="Suiza")*($F$22:$F$27&lt;$E$22:$E$27)*($E$22:$E$27&lt;&gt;"")*($F$22:$F$27&lt;&gt;""))</f>
      </c>
      <c r="G33" s="8">
        <f>SUMPRODUCT(($B$22:$B$27="Suiza")*$E$22:$E$27*($E$22:$E$27&lt;&gt;"")*($F$22:$F$27&lt;&gt;""))+SUMPRODUCT(($D$22:$D$27="Suiza")*$F$22:$F$27*($E$22:$E$27&lt;&gt;"")*($F$22:$F$27&lt;&gt;""))</f>
      </c>
      <c r="H33" s="8">
        <f>SUMPRODUCT(($B$22:$B$27="Suiza")*$F$22:$F$27*($E$22:$E$27&lt;&gt;"")*($F$22:$F$27&lt;&gt;""))+SUMPRODUCT(($D$22:$D$27="Suiza")*$E$22:$E$27*($E$22:$E$27&lt;&gt;"")*($F$22:$F$27&lt;&gt;""))</f>
      </c>
      <c r="I33" s="8">
        <f>G33-H33</f>
      </c>
      <c r="J33" s="13">
        <f>D33*3+E33</f>
      </c>
    </row>
    <row r="36" spans="1:10" x14ac:dyDescent="0.25">
      <c r="A36" s="11" t="s">
        <v>73</v>
      </c>
      <c r="B36" s="11"/>
      <c r="C36" s="11"/>
      <c r="D36" s="11"/>
      <c r="E36" s="11"/>
      <c r="F36" s="11"/>
      <c r="G36" s="11"/>
      <c r="H36" s="11"/>
      <c r="I36" s="11"/>
      <c r="J36" s="11"/>
    </row>
    <row r="37" spans="1:6" x14ac:dyDescent="0.25">
      <c r="A37" s="3" t="s">
        <v>48</v>
      </c>
      <c r="B37" s="3" t="s">
        <v>49</v>
      </c>
      <c r="C37" s="3" t="s">
        <v>50</v>
      </c>
      <c r="D37" s="3" t="s">
        <v>51</v>
      </c>
      <c r="E37" s="3" t="s">
        <v>52</v>
      </c>
      <c r="F37" s="3" t="s">
        <v>53</v>
      </c>
    </row>
    <row r="38" spans="1:6" x14ac:dyDescent="0.25">
      <c r="A38" s="12">
        <v>1</v>
      </c>
      <c r="B38" t="s">
        <v>74</v>
      </c>
      <c r="C38" s="12" t="s">
        <v>50</v>
      </c>
      <c r="D38" t="s">
        <v>75</v>
      </c>
      <c r="E38" s="7"/>
      <c r="F38" s="7"/>
    </row>
    <row r="39" spans="1:6" x14ac:dyDescent="0.25">
      <c r="A39" s="12">
        <v>2</v>
      </c>
      <c r="B39" t="s">
        <v>74</v>
      </c>
      <c r="C39" s="12" t="s">
        <v>50</v>
      </c>
      <c r="D39" t="s">
        <v>76</v>
      </c>
      <c r="E39" s="7"/>
      <c r="F39" s="7"/>
    </row>
    <row r="40" spans="1:6" x14ac:dyDescent="0.25">
      <c r="A40" s="12">
        <v>3</v>
      </c>
      <c r="B40" t="s">
        <v>74</v>
      </c>
      <c r="C40" s="12" t="s">
        <v>50</v>
      </c>
      <c r="D40" t="s">
        <v>77</v>
      </c>
      <c r="E40" s="7"/>
      <c r="F40" s="7"/>
    </row>
    <row r="41" spans="1:6" x14ac:dyDescent="0.25">
      <c r="A41" s="12">
        <v>4</v>
      </c>
      <c r="B41" t="s">
        <v>75</v>
      </c>
      <c r="C41" s="12" t="s">
        <v>50</v>
      </c>
      <c r="D41" t="s">
        <v>76</v>
      </c>
      <c r="E41" s="7"/>
      <c r="F41" s="7"/>
    </row>
    <row r="42" spans="1:6" x14ac:dyDescent="0.25">
      <c r="A42" s="12">
        <v>5</v>
      </c>
      <c r="B42" t="s">
        <v>75</v>
      </c>
      <c r="C42" s="12" t="s">
        <v>50</v>
      </c>
      <c r="D42" t="s">
        <v>77</v>
      </c>
      <c r="E42" s="7"/>
      <c r="F42" s="7"/>
    </row>
    <row r="43" spans="1:6" x14ac:dyDescent="0.25">
      <c r="A43" s="12">
        <v>6</v>
      </c>
      <c r="B43" t="s">
        <v>76</v>
      </c>
      <c r="C43" s="12" t="s">
        <v>50</v>
      </c>
      <c r="D43" t="s">
        <v>77</v>
      </c>
      <c r="E43" s="7"/>
      <c r="F43" s="7"/>
    </row>
    <row r="45" spans="1:10" x14ac:dyDescent="0.25">
      <c r="A45" s="3" t="s">
        <v>58</v>
      </c>
      <c r="B45" s="3" t="s">
        <v>59</v>
      </c>
      <c r="C45" s="3" t="s">
        <v>60</v>
      </c>
      <c r="D45" s="3" t="s">
        <v>61</v>
      </c>
      <c r="E45" s="3" t="s">
        <v>62</v>
      </c>
      <c r="F45" s="3" t="s">
        <v>63</v>
      </c>
      <c r="G45" s="3" t="s">
        <v>64</v>
      </c>
      <c r="H45" s="3" t="s">
        <v>65</v>
      </c>
      <c r="I45" s="3" t="s">
        <v>66</v>
      </c>
      <c r="J45" s="3" t="s">
        <v>67</v>
      </c>
    </row>
    <row r="46" spans="1:10" x14ac:dyDescent="0.25">
      <c r="A46" s="13">
        <f>SUMPRODUCT((J46:J49&gt;J46)*1)+SUMPRODUCT((J46:J49=J46)*(I46:I49&gt;I46))+SUMPRODUCT((J46:J49=J46)*(I46:I49=I46)*(G46:G49&gt;G46))+1</f>
      </c>
      <c r="B46" s="14" t="s">
        <v>74</v>
      </c>
      <c r="C46" s="8">
        <f>D46+E46+F46</f>
      </c>
      <c r="D46" s="8">
        <f>SUMPRODUCT(($B$38:$B$43="Brasil")*($E$38:$E$43&gt;$F$38:$F$43)*($E$38:$E$43&lt;&gt;"")*($F$38:$F$43&lt;&gt;""))+SUMPRODUCT(($D$38:$D$43="Brasil")*($F$38:$F$43&gt;$E$38:$E$43)*($E$38:$E$43&lt;&gt;"")*($F$38:$F$43&lt;&gt;""))</f>
      </c>
      <c r="E46" s="8">
        <f>SUMPRODUCT((($B$38:$B$43="Brasil")+($D$38:$D$43="Brasil"))*($E$38:$E$43=$F$38:$F$43)*($E$38:$E$43&lt;&gt;"")*($F$38:$F$43&lt;&gt;""))</f>
      </c>
      <c r="F46" s="8">
        <f>SUMPRODUCT(($B$38:$B$43="Brasil")*($E$38:$E$43&lt;$F$38:$F$43)*($E$38:$E$43&lt;&gt;"")*($F$38:$F$43&lt;&gt;""))+SUMPRODUCT(($D$38:$D$43="Brasil")*($F$38:$F$43&lt;$E$38:$E$43)*($E$38:$E$43&lt;&gt;"")*($F$38:$F$43&lt;&gt;""))</f>
      </c>
      <c r="G46" s="8">
        <f>SUMPRODUCT(($B$38:$B$43="Brasil")*$E$38:$E$43*($E$38:$E$43&lt;&gt;"")*($F$38:$F$43&lt;&gt;""))+SUMPRODUCT(($D$38:$D$43="Brasil")*$F$38:$F$43*($E$38:$E$43&lt;&gt;"")*($F$38:$F$43&lt;&gt;""))</f>
      </c>
      <c r="H46" s="8">
        <f>SUMPRODUCT(($B$38:$B$43="Brasil")*$F$38:$F$43*($E$38:$E$43&lt;&gt;"")*($F$38:$F$43&lt;&gt;""))+SUMPRODUCT(($D$38:$D$43="Brasil")*$E$38:$E$43*($E$38:$E$43&lt;&gt;"")*($F$38:$F$43&lt;&gt;""))</f>
      </c>
      <c r="I46" s="8">
        <f>G46-H46</f>
      </c>
      <c r="J46" s="13">
        <f>D46*3+E46</f>
      </c>
    </row>
    <row r="47" spans="1:10" x14ac:dyDescent="0.25">
      <c r="A47" s="13">
        <f>SUMPRODUCT((J46:J49&gt;J47)*1)+SUMPRODUCT((J46:J49=J47)*(I46:I49&gt;I47))+SUMPRODUCT((J46:J49=J47)*(I46:I49=I47)*(G46:G49&gt;G47))+1</f>
      </c>
      <c r="B47" s="14" t="s">
        <v>75</v>
      </c>
      <c r="C47" s="8">
        <f>D47+E47+F47</f>
      </c>
      <c r="D47" s="8">
        <f>SUMPRODUCT(($B$38:$B$43="Marruecos")*($E$38:$E$43&gt;$F$38:$F$43)*($E$38:$E$43&lt;&gt;"")*($F$38:$F$43&lt;&gt;""))+SUMPRODUCT(($D$38:$D$43="Marruecos")*($F$38:$F$43&gt;$E$38:$E$43)*($E$38:$E$43&lt;&gt;"")*($F$38:$F$43&lt;&gt;""))</f>
      </c>
      <c r="E47" s="8">
        <f>SUMPRODUCT((($B$38:$B$43="Marruecos")+($D$38:$D$43="Marruecos"))*($E$38:$E$43=$F$38:$F$43)*($E$38:$E$43&lt;&gt;"")*($F$38:$F$43&lt;&gt;""))</f>
      </c>
      <c r="F47" s="8">
        <f>SUMPRODUCT(($B$38:$B$43="Marruecos")*($E$38:$E$43&lt;$F$38:$F$43)*($E$38:$E$43&lt;&gt;"")*($F$38:$F$43&lt;&gt;""))+SUMPRODUCT(($D$38:$D$43="Marruecos")*($F$38:$F$43&lt;$E$38:$E$43)*($E$38:$E$43&lt;&gt;"")*($F$38:$F$43&lt;&gt;""))</f>
      </c>
      <c r="G47" s="8">
        <f>SUMPRODUCT(($B$38:$B$43="Marruecos")*$E$38:$E$43*($E$38:$E$43&lt;&gt;"")*($F$38:$F$43&lt;&gt;""))+SUMPRODUCT(($D$38:$D$43="Marruecos")*$F$38:$F$43*($E$38:$E$43&lt;&gt;"")*($F$38:$F$43&lt;&gt;""))</f>
      </c>
      <c r="H47" s="8">
        <f>SUMPRODUCT(($B$38:$B$43="Marruecos")*$F$38:$F$43*($E$38:$E$43&lt;&gt;"")*($F$38:$F$43&lt;&gt;""))+SUMPRODUCT(($D$38:$D$43="Marruecos")*$E$38:$E$43*($E$38:$E$43&lt;&gt;"")*($F$38:$F$43&lt;&gt;""))</f>
      </c>
      <c r="I47" s="8">
        <f>G47-H47</f>
      </c>
      <c r="J47" s="13">
        <f>D47*3+E47</f>
      </c>
    </row>
    <row r="48" spans="1:10" x14ac:dyDescent="0.25">
      <c r="A48" s="13">
        <f>SUMPRODUCT((J46:J49&gt;J48)*1)+SUMPRODUCT((J46:J49=J48)*(I46:I49&gt;I48))+SUMPRODUCT((J46:J49=J48)*(I46:I49=I48)*(G46:G49&gt;G48))+1</f>
      </c>
      <c r="B48" s="14" t="s">
        <v>76</v>
      </c>
      <c r="C48" s="8">
        <f>D48+E48+F48</f>
      </c>
      <c r="D48" s="8">
        <f>SUMPRODUCT(($B$38:$B$43="Haití")*($E$38:$E$43&gt;$F$38:$F$43)*($E$38:$E$43&lt;&gt;"")*($F$38:$F$43&lt;&gt;""))+SUMPRODUCT(($D$38:$D$43="Haití")*($F$38:$F$43&gt;$E$38:$E$43)*($E$38:$E$43&lt;&gt;"")*($F$38:$F$43&lt;&gt;""))</f>
      </c>
      <c r="E48" s="8">
        <f>SUMPRODUCT((($B$38:$B$43="Haití")+($D$38:$D$43="Haití"))*($E$38:$E$43=$F$38:$F$43)*($E$38:$E$43&lt;&gt;"")*($F$38:$F$43&lt;&gt;""))</f>
      </c>
      <c r="F48" s="8">
        <f>SUMPRODUCT(($B$38:$B$43="Haití")*($E$38:$E$43&lt;$F$38:$F$43)*($E$38:$E$43&lt;&gt;"")*($F$38:$F$43&lt;&gt;""))+SUMPRODUCT(($D$38:$D$43="Haití")*($F$38:$F$43&lt;$E$38:$E$43)*($E$38:$E$43&lt;&gt;"")*($F$38:$F$43&lt;&gt;""))</f>
      </c>
      <c r="G48" s="8">
        <f>SUMPRODUCT(($B$38:$B$43="Haití")*$E$38:$E$43*($E$38:$E$43&lt;&gt;"")*($F$38:$F$43&lt;&gt;""))+SUMPRODUCT(($D$38:$D$43="Haití")*$F$38:$F$43*($E$38:$E$43&lt;&gt;"")*($F$38:$F$43&lt;&gt;""))</f>
      </c>
      <c r="H48" s="8">
        <f>SUMPRODUCT(($B$38:$B$43="Haití")*$F$38:$F$43*($E$38:$E$43&lt;&gt;"")*($F$38:$F$43&lt;&gt;""))+SUMPRODUCT(($D$38:$D$43="Haití")*$E$38:$E$43*($E$38:$E$43&lt;&gt;"")*($F$38:$F$43&lt;&gt;""))</f>
      </c>
      <c r="I48" s="8">
        <f>G48-H48</f>
      </c>
      <c r="J48" s="13">
        <f>D48*3+E48</f>
      </c>
    </row>
    <row r="49" spans="1:10" x14ac:dyDescent="0.25">
      <c r="A49" s="13">
        <f>SUMPRODUCT((J46:J49&gt;J49)*1)+SUMPRODUCT((J46:J49=J49)*(I46:I49&gt;I49))+SUMPRODUCT((J46:J49=J49)*(I46:I49=I49)*(G46:G49&gt;G49))+1</f>
      </c>
      <c r="B49" s="14" t="s">
        <v>77</v>
      </c>
      <c r="C49" s="8">
        <f>D49+E49+F49</f>
      </c>
      <c r="D49" s="8">
        <f>SUMPRODUCT(($B$38:$B$43="Escocia")*($E$38:$E$43&gt;$F$38:$F$43)*($E$38:$E$43&lt;&gt;"")*($F$38:$F$43&lt;&gt;""))+SUMPRODUCT(($D$38:$D$43="Escocia")*($F$38:$F$43&gt;$E$38:$E$43)*($E$38:$E$43&lt;&gt;"")*($F$38:$F$43&lt;&gt;""))</f>
      </c>
      <c r="E49" s="8">
        <f>SUMPRODUCT((($B$38:$B$43="Escocia")+($D$38:$D$43="Escocia"))*($E$38:$E$43=$F$38:$F$43)*($E$38:$E$43&lt;&gt;"")*($F$38:$F$43&lt;&gt;""))</f>
      </c>
      <c r="F49" s="8">
        <f>SUMPRODUCT(($B$38:$B$43="Escocia")*($E$38:$E$43&lt;$F$38:$F$43)*($E$38:$E$43&lt;&gt;"")*($F$38:$F$43&lt;&gt;""))+SUMPRODUCT(($D$38:$D$43="Escocia")*($F$38:$F$43&lt;$E$38:$E$43)*($E$38:$E$43&lt;&gt;"")*($F$38:$F$43&lt;&gt;""))</f>
      </c>
      <c r="G49" s="8">
        <f>SUMPRODUCT(($B$38:$B$43="Escocia")*$E$38:$E$43*($E$38:$E$43&lt;&gt;"")*($F$38:$F$43&lt;&gt;""))+SUMPRODUCT(($D$38:$D$43="Escocia")*$F$38:$F$43*($E$38:$E$43&lt;&gt;"")*($F$38:$F$43&lt;&gt;""))</f>
      </c>
      <c r="H49" s="8">
        <f>SUMPRODUCT(($B$38:$B$43="Escocia")*$F$38:$F$43*($E$38:$E$43&lt;&gt;"")*($F$38:$F$43&lt;&gt;""))+SUMPRODUCT(($D$38:$D$43="Escocia")*$E$38:$E$43*($E$38:$E$43&lt;&gt;"")*($F$38:$F$43&lt;&gt;""))</f>
      </c>
      <c r="I49" s="8">
        <f>G49-H49</f>
      </c>
      <c r="J49" s="13">
        <f>D49*3+E49</f>
      </c>
    </row>
    <row r="52" spans="1:10" x14ac:dyDescent="0.25">
      <c r="A52" s="11" t="s">
        <v>78</v>
      </c>
      <c r="B52" s="11"/>
      <c r="C52" s="11"/>
      <c r="D52" s="11"/>
      <c r="E52" s="11"/>
      <c r="F52" s="11"/>
      <c r="G52" s="11"/>
      <c r="H52" s="11"/>
      <c r="I52" s="11"/>
      <c r="J52" s="11"/>
    </row>
    <row r="53" spans="1:6" x14ac:dyDescent="0.25">
      <c r="A53" s="3" t="s">
        <v>48</v>
      </c>
      <c r="B53" s="3" t="s">
        <v>49</v>
      </c>
      <c r="C53" s="3" t="s">
        <v>50</v>
      </c>
      <c r="D53" s="3" t="s">
        <v>51</v>
      </c>
      <c r="E53" s="3" t="s">
        <v>52</v>
      </c>
      <c r="F53" s="3" t="s">
        <v>53</v>
      </c>
    </row>
    <row r="54" spans="1:6" x14ac:dyDescent="0.25">
      <c r="A54" s="12">
        <v>1</v>
      </c>
      <c r="B54" t="s">
        <v>79</v>
      </c>
      <c r="C54" s="12" t="s">
        <v>50</v>
      </c>
      <c r="D54" t="s">
        <v>80</v>
      </c>
      <c r="E54" s="7"/>
      <c r="F54" s="7"/>
    </row>
    <row r="55" spans="1:6" x14ac:dyDescent="0.25">
      <c r="A55" s="12">
        <v>2</v>
      </c>
      <c r="B55" t="s">
        <v>79</v>
      </c>
      <c r="C55" s="12" t="s">
        <v>50</v>
      </c>
      <c r="D55" t="s">
        <v>81</v>
      </c>
      <c r="E55" s="7"/>
      <c r="F55" s="7"/>
    </row>
    <row r="56" spans="1:6" x14ac:dyDescent="0.25">
      <c r="A56" s="12">
        <v>3</v>
      </c>
      <c r="B56" t="s">
        <v>79</v>
      </c>
      <c r="C56" s="12" t="s">
        <v>50</v>
      </c>
      <c r="D56" t="s">
        <v>82</v>
      </c>
      <c r="E56" s="7"/>
      <c r="F56" s="7"/>
    </row>
    <row r="57" spans="1:6" x14ac:dyDescent="0.25">
      <c r="A57" s="12">
        <v>4</v>
      </c>
      <c r="B57" t="s">
        <v>80</v>
      </c>
      <c r="C57" s="12" t="s">
        <v>50</v>
      </c>
      <c r="D57" t="s">
        <v>81</v>
      </c>
      <c r="E57" s="7"/>
      <c r="F57" s="7"/>
    </row>
    <row r="58" spans="1:6" x14ac:dyDescent="0.25">
      <c r="A58" s="12">
        <v>5</v>
      </c>
      <c r="B58" t="s">
        <v>80</v>
      </c>
      <c r="C58" s="12" t="s">
        <v>50</v>
      </c>
      <c r="D58" t="s">
        <v>82</v>
      </c>
      <c r="E58" s="7"/>
      <c r="F58" s="7"/>
    </row>
    <row r="59" spans="1:6" x14ac:dyDescent="0.25">
      <c r="A59" s="12">
        <v>6</v>
      </c>
      <c r="B59" t="s">
        <v>81</v>
      </c>
      <c r="C59" s="12" t="s">
        <v>50</v>
      </c>
      <c r="D59" t="s">
        <v>82</v>
      </c>
      <c r="E59" s="7"/>
      <c r="F59" s="7"/>
    </row>
    <row r="61" spans="1:10" x14ac:dyDescent="0.25">
      <c r="A61" s="3" t="s">
        <v>58</v>
      </c>
      <c r="B61" s="3" t="s">
        <v>59</v>
      </c>
      <c r="C61" s="3" t="s">
        <v>60</v>
      </c>
      <c r="D61" s="3" t="s">
        <v>61</v>
      </c>
      <c r="E61" s="3" t="s">
        <v>62</v>
      </c>
      <c r="F61" s="3" t="s">
        <v>63</v>
      </c>
      <c r="G61" s="3" t="s">
        <v>64</v>
      </c>
      <c r="H61" s="3" t="s">
        <v>65</v>
      </c>
      <c r="I61" s="3" t="s">
        <v>66</v>
      </c>
      <c r="J61" s="3" t="s">
        <v>67</v>
      </c>
    </row>
    <row r="62" spans="1:10" x14ac:dyDescent="0.25">
      <c r="A62" s="13">
        <f>SUMPRODUCT((J62:J65&gt;J62)*1)+SUMPRODUCT((J62:J65=J62)*(I62:I65&gt;I62))+SUMPRODUCT((J62:J65=J62)*(I62:I65=I62)*(G62:G65&gt;G62))+1</f>
      </c>
      <c r="B62" s="14" t="s">
        <v>79</v>
      </c>
      <c r="C62" s="8">
        <f>D62+E62+F62</f>
      </c>
      <c r="D62" s="8">
        <f>SUMPRODUCT(($B$54:$B$59="Estados Unidos")*($E$54:$E$59&gt;$F$54:$F$59)*($E$54:$E$59&lt;&gt;"")*($F$54:$F$59&lt;&gt;""))+SUMPRODUCT(($D$54:$D$59="Estados Unidos")*($F$54:$F$59&gt;$E$54:$E$59)*($E$54:$E$59&lt;&gt;"")*($F$54:$F$59&lt;&gt;""))</f>
      </c>
      <c r="E62" s="8">
        <f>SUMPRODUCT((($B$54:$B$59="Estados Unidos")+($D$54:$D$59="Estados Unidos"))*($E$54:$E$59=$F$54:$F$59)*($E$54:$E$59&lt;&gt;"")*($F$54:$F$59&lt;&gt;""))</f>
      </c>
      <c r="F62" s="8">
        <f>SUMPRODUCT(($B$54:$B$59="Estados Unidos")*($E$54:$E$59&lt;$F$54:$F$59)*($E$54:$E$59&lt;&gt;"")*($F$54:$F$59&lt;&gt;""))+SUMPRODUCT(($D$54:$D$59="Estados Unidos")*($F$54:$F$59&lt;$E$54:$E$59)*($E$54:$E$59&lt;&gt;"")*($F$54:$F$59&lt;&gt;""))</f>
      </c>
      <c r="G62" s="8">
        <f>SUMPRODUCT(($B$54:$B$59="Estados Unidos")*$E$54:$E$59*($E$54:$E$59&lt;&gt;"")*($F$54:$F$59&lt;&gt;""))+SUMPRODUCT(($D$54:$D$59="Estados Unidos")*$F$54:$F$59*($E$54:$E$59&lt;&gt;"")*($F$54:$F$59&lt;&gt;""))</f>
      </c>
      <c r="H62" s="8">
        <f>SUMPRODUCT(($B$54:$B$59="Estados Unidos")*$F$54:$F$59*($E$54:$E$59&lt;&gt;"")*($F$54:$F$59&lt;&gt;""))+SUMPRODUCT(($D$54:$D$59="Estados Unidos")*$E$54:$E$59*($E$54:$E$59&lt;&gt;"")*($F$54:$F$59&lt;&gt;""))</f>
      </c>
      <c r="I62" s="8">
        <f>G62-H62</f>
      </c>
      <c r="J62" s="13">
        <f>D62*3+E62</f>
      </c>
    </row>
    <row r="63" spans="1:10" x14ac:dyDescent="0.25">
      <c r="A63" s="13">
        <f>SUMPRODUCT((J62:J65&gt;J63)*1)+SUMPRODUCT((J62:J65=J63)*(I62:I65&gt;I63))+SUMPRODUCT((J62:J65=J63)*(I62:I65=I63)*(G62:G65&gt;G63))+1</f>
      </c>
      <c r="B63" s="14" t="s">
        <v>80</v>
      </c>
      <c r="C63" s="8">
        <f>D63+E63+F63</f>
      </c>
      <c r="D63" s="8">
        <f>SUMPRODUCT(($B$54:$B$59="Paraguay")*($E$54:$E$59&gt;$F$54:$F$59)*($E$54:$E$59&lt;&gt;"")*($F$54:$F$59&lt;&gt;""))+SUMPRODUCT(($D$54:$D$59="Paraguay")*($F$54:$F$59&gt;$E$54:$E$59)*($E$54:$E$59&lt;&gt;"")*($F$54:$F$59&lt;&gt;""))</f>
      </c>
      <c r="E63" s="8">
        <f>SUMPRODUCT((($B$54:$B$59="Paraguay")+($D$54:$D$59="Paraguay"))*($E$54:$E$59=$F$54:$F$59)*($E$54:$E$59&lt;&gt;"")*($F$54:$F$59&lt;&gt;""))</f>
      </c>
      <c r="F63" s="8">
        <f>SUMPRODUCT(($B$54:$B$59="Paraguay")*($E$54:$E$59&lt;$F$54:$F$59)*($E$54:$E$59&lt;&gt;"")*($F$54:$F$59&lt;&gt;""))+SUMPRODUCT(($D$54:$D$59="Paraguay")*($F$54:$F$59&lt;$E$54:$E$59)*($E$54:$E$59&lt;&gt;"")*($F$54:$F$59&lt;&gt;""))</f>
      </c>
      <c r="G63" s="8">
        <f>SUMPRODUCT(($B$54:$B$59="Paraguay")*$E$54:$E$59*($E$54:$E$59&lt;&gt;"")*($F$54:$F$59&lt;&gt;""))+SUMPRODUCT(($D$54:$D$59="Paraguay")*$F$54:$F$59*($E$54:$E$59&lt;&gt;"")*($F$54:$F$59&lt;&gt;""))</f>
      </c>
      <c r="H63" s="8">
        <f>SUMPRODUCT(($B$54:$B$59="Paraguay")*$F$54:$F$59*($E$54:$E$59&lt;&gt;"")*($F$54:$F$59&lt;&gt;""))+SUMPRODUCT(($D$54:$D$59="Paraguay")*$E$54:$E$59*($E$54:$E$59&lt;&gt;"")*($F$54:$F$59&lt;&gt;""))</f>
      </c>
      <c r="I63" s="8">
        <f>G63-H63</f>
      </c>
      <c r="J63" s="13">
        <f>D63*3+E63</f>
      </c>
    </row>
    <row r="64" spans="1:10" x14ac:dyDescent="0.25">
      <c r="A64" s="13">
        <f>SUMPRODUCT((J62:J65&gt;J64)*1)+SUMPRODUCT((J62:J65=J64)*(I62:I65&gt;I64))+SUMPRODUCT((J62:J65=J64)*(I62:I65=I64)*(G62:G65&gt;G64))+1</f>
      </c>
      <c r="B64" s="14" t="s">
        <v>81</v>
      </c>
      <c r="C64" s="8">
        <f>D64+E64+F64</f>
      </c>
      <c r="D64" s="8">
        <f>SUMPRODUCT(($B$54:$B$59="Australia")*($E$54:$E$59&gt;$F$54:$F$59)*($E$54:$E$59&lt;&gt;"")*($F$54:$F$59&lt;&gt;""))+SUMPRODUCT(($D$54:$D$59="Australia")*($F$54:$F$59&gt;$E$54:$E$59)*($E$54:$E$59&lt;&gt;"")*($F$54:$F$59&lt;&gt;""))</f>
      </c>
      <c r="E64" s="8">
        <f>SUMPRODUCT((($B$54:$B$59="Australia")+($D$54:$D$59="Australia"))*($E$54:$E$59=$F$54:$F$59)*($E$54:$E$59&lt;&gt;"")*($F$54:$F$59&lt;&gt;""))</f>
      </c>
      <c r="F64" s="8">
        <f>SUMPRODUCT(($B$54:$B$59="Australia")*($E$54:$E$59&lt;$F$54:$F$59)*($E$54:$E$59&lt;&gt;"")*($F$54:$F$59&lt;&gt;""))+SUMPRODUCT(($D$54:$D$59="Australia")*($F$54:$F$59&lt;$E$54:$E$59)*($E$54:$E$59&lt;&gt;"")*($F$54:$F$59&lt;&gt;""))</f>
      </c>
      <c r="G64" s="8">
        <f>SUMPRODUCT(($B$54:$B$59="Australia")*$E$54:$E$59*($E$54:$E$59&lt;&gt;"")*($F$54:$F$59&lt;&gt;""))+SUMPRODUCT(($D$54:$D$59="Australia")*$F$54:$F$59*($E$54:$E$59&lt;&gt;"")*($F$54:$F$59&lt;&gt;""))</f>
      </c>
      <c r="H64" s="8">
        <f>SUMPRODUCT(($B$54:$B$59="Australia")*$F$54:$F$59*($E$54:$E$59&lt;&gt;"")*($F$54:$F$59&lt;&gt;""))+SUMPRODUCT(($D$54:$D$59="Australia")*$E$54:$E$59*($E$54:$E$59&lt;&gt;"")*($F$54:$F$59&lt;&gt;""))</f>
      </c>
      <c r="I64" s="8">
        <f>G64-H64</f>
      </c>
      <c r="J64" s="13">
        <f>D64*3+E64</f>
      </c>
    </row>
    <row r="65" spans="1:10" x14ac:dyDescent="0.25">
      <c r="A65" s="13">
        <f>SUMPRODUCT((J62:J65&gt;J65)*1)+SUMPRODUCT((J62:J65=J65)*(I62:I65&gt;I65))+SUMPRODUCT((J62:J65=J65)*(I62:I65=I65)*(G62:G65&gt;G65))+1</f>
      </c>
      <c r="B65" s="14" t="s">
        <v>82</v>
      </c>
      <c r="C65" s="8">
        <f>D65+E65+F65</f>
      </c>
      <c r="D65" s="8">
        <f>SUMPRODUCT(($B$54:$B$59="Turquía")*($E$54:$E$59&gt;$F$54:$F$59)*($E$54:$E$59&lt;&gt;"")*($F$54:$F$59&lt;&gt;""))+SUMPRODUCT(($D$54:$D$59="Turquía")*($F$54:$F$59&gt;$E$54:$E$59)*($E$54:$E$59&lt;&gt;"")*($F$54:$F$59&lt;&gt;""))</f>
      </c>
      <c r="E65" s="8">
        <f>SUMPRODUCT((($B$54:$B$59="Turquía")+($D$54:$D$59="Turquía"))*($E$54:$E$59=$F$54:$F$59)*($E$54:$E$59&lt;&gt;"")*($F$54:$F$59&lt;&gt;""))</f>
      </c>
      <c r="F65" s="8">
        <f>SUMPRODUCT(($B$54:$B$59="Turquía")*($E$54:$E$59&lt;$F$54:$F$59)*($E$54:$E$59&lt;&gt;"")*($F$54:$F$59&lt;&gt;""))+SUMPRODUCT(($D$54:$D$59="Turquía")*($F$54:$F$59&lt;$E$54:$E$59)*($E$54:$E$59&lt;&gt;"")*($F$54:$F$59&lt;&gt;""))</f>
      </c>
      <c r="G65" s="8">
        <f>SUMPRODUCT(($B$54:$B$59="Turquía")*$E$54:$E$59*($E$54:$E$59&lt;&gt;"")*($F$54:$F$59&lt;&gt;""))+SUMPRODUCT(($D$54:$D$59="Turquía")*$F$54:$F$59*($E$54:$E$59&lt;&gt;"")*($F$54:$F$59&lt;&gt;""))</f>
      </c>
      <c r="H65" s="8">
        <f>SUMPRODUCT(($B$54:$B$59="Turquía")*$F$54:$F$59*($E$54:$E$59&lt;&gt;"")*($F$54:$F$59&lt;&gt;""))+SUMPRODUCT(($D$54:$D$59="Turquía")*$E$54:$E$59*($E$54:$E$59&lt;&gt;"")*($F$54:$F$59&lt;&gt;""))</f>
      </c>
      <c r="I65" s="8">
        <f>G65-H65</f>
      </c>
      <c r="J65" s="13">
        <f>D65*3+E65</f>
      </c>
    </row>
    <row r="68" spans="1:10" x14ac:dyDescent="0.25">
      <c r="A68" s="11" t="s">
        <v>83</v>
      </c>
      <c r="B68" s="11"/>
      <c r="C68" s="11"/>
      <c r="D68" s="11"/>
      <c r="E68" s="11"/>
      <c r="F68" s="11"/>
      <c r="G68" s="11"/>
      <c r="H68" s="11"/>
      <c r="I68" s="11"/>
      <c r="J68" s="11"/>
    </row>
    <row r="69" spans="1:6" x14ac:dyDescent="0.25">
      <c r="A69" s="3" t="s">
        <v>48</v>
      </c>
      <c r="B69" s="3" t="s">
        <v>49</v>
      </c>
      <c r="C69" s="3" t="s">
        <v>50</v>
      </c>
      <c r="D69" s="3" t="s">
        <v>51</v>
      </c>
      <c r="E69" s="3" t="s">
        <v>52</v>
      </c>
      <c r="F69" s="3" t="s">
        <v>53</v>
      </c>
    </row>
    <row r="70" spans="1:6" x14ac:dyDescent="0.25">
      <c r="A70" s="12">
        <v>1</v>
      </c>
      <c r="B70" t="s">
        <v>84</v>
      </c>
      <c r="C70" s="12" t="s">
        <v>50</v>
      </c>
      <c r="D70" t="s">
        <v>85</v>
      </c>
      <c r="E70" s="7"/>
      <c r="F70" s="7"/>
    </row>
    <row r="71" spans="1:6" x14ac:dyDescent="0.25">
      <c r="A71" s="12">
        <v>2</v>
      </c>
      <c r="B71" t="s">
        <v>84</v>
      </c>
      <c r="C71" s="12" t="s">
        <v>50</v>
      </c>
      <c r="D71" t="s">
        <v>86</v>
      </c>
      <c r="E71" s="7"/>
      <c r="F71" s="7"/>
    </row>
    <row r="72" spans="1:6" x14ac:dyDescent="0.25">
      <c r="A72" s="12">
        <v>3</v>
      </c>
      <c r="B72" t="s">
        <v>84</v>
      </c>
      <c r="C72" s="12" t="s">
        <v>50</v>
      </c>
      <c r="D72" t="s">
        <v>87</v>
      </c>
      <c r="E72" s="7"/>
      <c r="F72" s="7"/>
    </row>
    <row r="73" spans="1:6" x14ac:dyDescent="0.25">
      <c r="A73" s="12">
        <v>4</v>
      </c>
      <c r="B73" t="s">
        <v>85</v>
      </c>
      <c r="C73" s="12" t="s">
        <v>50</v>
      </c>
      <c r="D73" t="s">
        <v>86</v>
      </c>
      <c r="E73" s="7"/>
      <c r="F73" s="7"/>
    </row>
    <row r="74" spans="1:6" x14ac:dyDescent="0.25">
      <c r="A74" s="12">
        <v>5</v>
      </c>
      <c r="B74" t="s">
        <v>85</v>
      </c>
      <c r="C74" s="12" t="s">
        <v>50</v>
      </c>
      <c r="D74" t="s">
        <v>87</v>
      </c>
      <c r="E74" s="7"/>
      <c r="F74" s="7"/>
    </row>
    <row r="75" spans="1:6" x14ac:dyDescent="0.25">
      <c r="A75" s="12">
        <v>6</v>
      </c>
      <c r="B75" t="s">
        <v>86</v>
      </c>
      <c r="C75" s="12" t="s">
        <v>50</v>
      </c>
      <c r="D75" t="s">
        <v>87</v>
      </c>
      <c r="E75" s="7"/>
      <c r="F75" s="7"/>
    </row>
    <row r="77" spans="1:10" x14ac:dyDescent="0.25">
      <c r="A77" s="3" t="s">
        <v>58</v>
      </c>
      <c r="B77" s="3" t="s">
        <v>59</v>
      </c>
      <c r="C77" s="3" t="s">
        <v>60</v>
      </c>
      <c r="D77" s="3" t="s">
        <v>61</v>
      </c>
      <c r="E77" s="3" t="s">
        <v>62</v>
      </c>
      <c r="F77" s="3" t="s">
        <v>63</v>
      </c>
      <c r="G77" s="3" t="s">
        <v>64</v>
      </c>
      <c r="H77" s="3" t="s">
        <v>65</v>
      </c>
      <c r="I77" s="3" t="s">
        <v>66</v>
      </c>
      <c r="J77" s="3" t="s">
        <v>67</v>
      </c>
    </row>
    <row r="78" spans="1:10" x14ac:dyDescent="0.25">
      <c r="A78" s="13">
        <f>SUMPRODUCT((J78:J81&gt;J78)*1)+SUMPRODUCT((J78:J81=J78)*(I78:I81&gt;I78))+SUMPRODUCT((J78:J81=J78)*(I78:I81=I78)*(G78:G81&gt;G78))+1</f>
      </c>
      <c r="B78" s="14" t="s">
        <v>84</v>
      </c>
      <c r="C78" s="8">
        <f>D78+E78+F78</f>
      </c>
      <c r="D78" s="8">
        <f>SUMPRODUCT(($B$70:$B$75="Alemania")*($E$70:$E$75&gt;$F$70:$F$75)*($E$70:$E$75&lt;&gt;"")*($F$70:$F$75&lt;&gt;""))+SUMPRODUCT(($D$70:$D$75="Alemania")*($F$70:$F$75&gt;$E$70:$E$75)*($E$70:$E$75&lt;&gt;"")*($F$70:$F$75&lt;&gt;""))</f>
      </c>
      <c r="E78" s="8">
        <f>SUMPRODUCT((($B$70:$B$75="Alemania")+($D$70:$D$75="Alemania"))*($E$70:$E$75=$F$70:$F$75)*($E$70:$E$75&lt;&gt;"")*($F$70:$F$75&lt;&gt;""))</f>
      </c>
      <c r="F78" s="8">
        <f>SUMPRODUCT(($B$70:$B$75="Alemania")*($E$70:$E$75&lt;$F$70:$F$75)*($E$70:$E$75&lt;&gt;"")*($F$70:$F$75&lt;&gt;""))+SUMPRODUCT(($D$70:$D$75="Alemania")*($F$70:$F$75&lt;$E$70:$E$75)*($E$70:$E$75&lt;&gt;"")*($F$70:$F$75&lt;&gt;""))</f>
      </c>
      <c r="G78" s="8">
        <f>SUMPRODUCT(($B$70:$B$75="Alemania")*$E$70:$E$75*($E$70:$E$75&lt;&gt;"")*($F$70:$F$75&lt;&gt;""))+SUMPRODUCT(($D$70:$D$75="Alemania")*$F$70:$F$75*($E$70:$E$75&lt;&gt;"")*($F$70:$F$75&lt;&gt;""))</f>
      </c>
      <c r="H78" s="8">
        <f>SUMPRODUCT(($B$70:$B$75="Alemania")*$F$70:$F$75*($E$70:$E$75&lt;&gt;"")*($F$70:$F$75&lt;&gt;""))+SUMPRODUCT(($D$70:$D$75="Alemania")*$E$70:$E$75*($E$70:$E$75&lt;&gt;"")*($F$70:$F$75&lt;&gt;""))</f>
      </c>
      <c r="I78" s="8">
        <f>G78-H78</f>
      </c>
      <c r="J78" s="13">
        <f>D78*3+E78</f>
      </c>
    </row>
    <row r="79" spans="1:10" x14ac:dyDescent="0.25">
      <c r="A79" s="13">
        <f>SUMPRODUCT((J78:J81&gt;J79)*1)+SUMPRODUCT((J78:J81=J79)*(I78:I81&gt;I79))+SUMPRODUCT((J78:J81=J79)*(I78:I81=I79)*(G78:G81&gt;G79))+1</f>
      </c>
      <c r="B79" s="14" t="s">
        <v>85</v>
      </c>
      <c r="C79" s="8">
        <f>D79+E79+F79</f>
      </c>
      <c r="D79" s="8">
        <f>SUMPRODUCT(($B$70:$B$75="Curazao")*($E$70:$E$75&gt;$F$70:$F$75)*($E$70:$E$75&lt;&gt;"")*($F$70:$F$75&lt;&gt;""))+SUMPRODUCT(($D$70:$D$75="Curazao")*($F$70:$F$75&gt;$E$70:$E$75)*($E$70:$E$75&lt;&gt;"")*($F$70:$F$75&lt;&gt;""))</f>
      </c>
      <c r="E79" s="8">
        <f>SUMPRODUCT((($B$70:$B$75="Curazao")+($D$70:$D$75="Curazao"))*($E$70:$E$75=$F$70:$F$75)*($E$70:$E$75&lt;&gt;"")*($F$70:$F$75&lt;&gt;""))</f>
      </c>
      <c r="F79" s="8">
        <f>SUMPRODUCT(($B$70:$B$75="Curazao")*($E$70:$E$75&lt;$F$70:$F$75)*($E$70:$E$75&lt;&gt;"")*($F$70:$F$75&lt;&gt;""))+SUMPRODUCT(($D$70:$D$75="Curazao")*($F$70:$F$75&lt;$E$70:$E$75)*($E$70:$E$75&lt;&gt;"")*($F$70:$F$75&lt;&gt;""))</f>
      </c>
      <c r="G79" s="8">
        <f>SUMPRODUCT(($B$70:$B$75="Curazao")*$E$70:$E$75*($E$70:$E$75&lt;&gt;"")*($F$70:$F$75&lt;&gt;""))+SUMPRODUCT(($D$70:$D$75="Curazao")*$F$70:$F$75*($E$70:$E$75&lt;&gt;"")*($F$70:$F$75&lt;&gt;""))</f>
      </c>
      <c r="H79" s="8">
        <f>SUMPRODUCT(($B$70:$B$75="Curazao")*$F$70:$F$75*($E$70:$E$75&lt;&gt;"")*($F$70:$F$75&lt;&gt;""))+SUMPRODUCT(($D$70:$D$75="Curazao")*$E$70:$E$75*($E$70:$E$75&lt;&gt;"")*($F$70:$F$75&lt;&gt;""))</f>
      </c>
      <c r="I79" s="8">
        <f>G79-H79</f>
      </c>
      <c r="J79" s="13">
        <f>D79*3+E79</f>
      </c>
    </row>
    <row r="80" spans="1:10" x14ac:dyDescent="0.25">
      <c r="A80" s="13">
        <f>SUMPRODUCT((J78:J81&gt;J80)*1)+SUMPRODUCT((J78:J81=J80)*(I78:I81&gt;I80))+SUMPRODUCT((J78:J81=J80)*(I78:I81=I80)*(G78:G81&gt;G80))+1</f>
      </c>
      <c r="B80" s="14" t="s">
        <v>86</v>
      </c>
      <c r="C80" s="8">
        <f>D80+E80+F80</f>
      </c>
      <c r="D80" s="8">
        <f>SUMPRODUCT(($B$70:$B$75="Costa de Marfil")*($E$70:$E$75&gt;$F$70:$F$75)*($E$70:$E$75&lt;&gt;"")*($F$70:$F$75&lt;&gt;""))+SUMPRODUCT(($D$70:$D$75="Costa de Marfil")*($F$70:$F$75&gt;$E$70:$E$75)*($E$70:$E$75&lt;&gt;"")*($F$70:$F$75&lt;&gt;""))</f>
      </c>
      <c r="E80" s="8">
        <f>SUMPRODUCT((($B$70:$B$75="Costa de Marfil")+($D$70:$D$75="Costa de Marfil"))*($E$70:$E$75=$F$70:$F$75)*($E$70:$E$75&lt;&gt;"")*($F$70:$F$75&lt;&gt;""))</f>
      </c>
      <c r="F80" s="8">
        <f>SUMPRODUCT(($B$70:$B$75="Costa de Marfil")*($E$70:$E$75&lt;$F$70:$F$75)*($E$70:$E$75&lt;&gt;"")*($F$70:$F$75&lt;&gt;""))+SUMPRODUCT(($D$70:$D$75="Costa de Marfil")*($F$70:$F$75&lt;$E$70:$E$75)*($E$70:$E$75&lt;&gt;"")*($F$70:$F$75&lt;&gt;""))</f>
      </c>
      <c r="G80" s="8">
        <f>SUMPRODUCT(($B$70:$B$75="Costa de Marfil")*$E$70:$E$75*($E$70:$E$75&lt;&gt;"")*($F$70:$F$75&lt;&gt;""))+SUMPRODUCT(($D$70:$D$75="Costa de Marfil")*$F$70:$F$75*($E$70:$E$75&lt;&gt;"")*($F$70:$F$75&lt;&gt;""))</f>
      </c>
      <c r="H80" s="8">
        <f>SUMPRODUCT(($B$70:$B$75="Costa de Marfil")*$F$70:$F$75*($E$70:$E$75&lt;&gt;"")*($F$70:$F$75&lt;&gt;""))+SUMPRODUCT(($D$70:$D$75="Costa de Marfil")*$E$70:$E$75*($E$70:$E$75&lt;&gt;"")*($F$70:$F$75&lt;&gt;""))</f>
      </c>
      <c r="I80" s="8">
        <f>G80-H80</f>
      </c>
      <c r="J80" s="13">
        <f>D80*3+E80</f>
      </c>
    </row>
    <row r="81" spans="1:10" x14ac:dyDescent="0.25">
      <c r="A81" s="13">
        <f>SUMPRODUCT((J78:J81&gt;J81)*1)+SUMPRODUCT((J78:J81=J81)*(I78:I81&gt;I81))+SUMPRODUCT((J78:J81=J81)*(I78:I81=I81)*(G78:G81&gt;G81))+1</f>
      </c>
      <c r="B81" s="14" t="s">
        <v>87</v>
      </c>
      <c r="C81" s="8">
        <f>D81+E81+F81</f>
      </c>
      <c r="D81" s="8">
        <f>SUMPRODUCT(($B$70:$B$75="Ecuador")*($E$70:$E$75&gt;$F$70:$F$75)*($E$70:$E$75&lt;&gt;"")*($F$70:$F$75&lt;&gt;""))+SUMPRODUCT(($D$70:$D$75="Ecuador")*($F$70:$F$75&gt;$E$70:$E$75)*($E$70:$E$75&lt;&gt;"")*($F$70:$F$75&lt;&gt;""))</f>
      </c>
      <c r="E81" s="8">
        <f>SUMPRODUCT((($B$70:$B$75="Ecuador")+($D$70:$D$75="Ecuador"))*($E$70:$E$75=$F$70:$F$75)*($E$70:$E$75&lt;&gt;"")*($F$70:$F$75&lt;&gt;""))</f>
      </c>
      <c r="F81" s="8">
        <f>SUMPRODUCT(($B$70:$B$75="Ecuador")*($E$70:$E$75&lt;$F$70:$F$75)*($E$70:$E$75&lt;&gt;"")*($F$70:$F$75&lt;&gt;""))+SUMPRODUCT(($D$70:$D$75="Ecuador")*($F$70:$F$75&lt;$E$70:$E$75)*($E$70:$E$75&lt;&gt;"")*($F$70:$F$75&lt;&gt;""))</f>
      </c>
      <c r="G81" s="8">
        <f>SUMPRODUCT(($B$70:$B$75="Ecuador")*$E$70:$E$75*($E$70:$E$75&lt;&gt;"")*($F$70:$F$75&lt;&gt;""))+SUMPRODUCT(($D$70:$D$75="Ecuador")*$F$70:$F$75*($E$70:$E$75&lt;&gt;"")*($F$70:$F$75&lt;&gt;""))</f>
      </c>
      <c r="H81" s="8">
        <f>SUMPRODUCT(($B$70:$B$75="Ecuador")*$F$70:$F$75*($E$70:$E$75&lt;&gt;"")*($F$70:$F$75&lt;&gt;""))+SUMPRODUCT(($D$70:$D$75="Ecuador")*$E$70:$E$75*($E$70:$E$75&lt;&gt;"")*($F$70:$F$75&lt;&gt;""))</f>
      </c>
      <c r="I81" s="8">
        <f>G81-H81</f>
      </c>
      <c r="J81" s="13">
        <f>D81*3+E81</f>
      </c>
    </row>
    <row r="84" spans="1:10" x14ac:dyDescent="0.25">
      <c r="A84" s="11" t="s">
        <v>88</v>
      </c>
      <c r="B84" s="11"/>
      <c r="C84" s="11"/>
      <c r="D84" s="11"/>
      <c r="E84" s="11"/>
      <c r="F84" s="11"/>
      <c r="G84" s="11"/>
      <c r="H84" s="11"/>
      <c r="I84" s="11"/>
      <c r="J84" s="11"/>
    </row>
    <row r="85" spans="1:6" x14ac:dyDescent="0.25">
      <c r="A85" s="3" t="s">
        <v>48</v>
      </c>
      <c r="B85" s="3" t="s">
        <v>49</v>
      </c>
      <c r="C85" s="3" t="s">
        <v>50</v>
      </c>
      <c r="D85" s="3" t="s">
        <v>51</v>
      </c>
      <c r="E85" s="3" t="s">
        <v>52</v>
      </c>
      <c r="F85" s="3" t="s">
        <v>53</v>
      </c>
    </row>
    <row r="86" spans="1:6" x14ac:dyDescent="0.25">
      <c r="A86" s="12">
        <v>1</v>
      </c>
      <c r="B86" t="s">
        <v>89</v>
      </c>
      <c r="C86" s="12" t="s">
        <v>50</v>
      </c>
      <c r="D86" t="s">
        <v>90</v>
      </c>
      <c r="E86" s="7"/>
      <c r="F86" s="7"/>
    </row>
    <row r="87" spans="1:6" x14ac:dyDescent="0.25">
      <c r="A87" s="12">
        <v>2</v>
      </c>
      <c r="B87" t="s">
        <v>89</v>
      </c>
      <c r="C87" s="12" t="s">
        <v>50</v>
      </c>
      <c r="D87" t="s">
        <v>91</v>
      </c>
      <c r="E87" s="7"/>
      <c r="F87" s="7"/>
    </row>
    <row r="88" spans="1:6" x14ac:dyDescent="0.25">
      <c r="A88" s="12">
        <v>3</v>
      </c>
      <c r="B88" t="s">
        <v>89</v>
      </c>
      <c r="C88" s="12" t="s">
        <v>50</v>
      </c>
      <c r="D88" t="s">
        <v>92</v>
      </c>
      <c r="E88" s="7"/>
      <c r="F88" s="7"/>
    </row>
    <row r="89" spans="1:6" x14ac:dyDescent="0.25">
      <c r="A89" s="12">
        <v>4</v>
      </c>
      <c r="B89" t="s">
        <v>90</v>
      </c>
      <c r="C89" s="12" t="s">
        <v>50</v>
      </c>
      <c r="D89" t="s">
        <v>91</v>
      </c>
      <c r="E89" s="7"/>
      <c r="F89" s="7"/>
    </row>
    <row r="90" spans="1:6" x14ac:dyDescent="0.25">
      <c r="A90" s="12">
        <v>5</v>
      </c>
      <c r="B90" t="s">
        <v>90</v>
      </c>
      <c r="C90" s="12" t="s">
        <v>50</v>
      </c>
      <c r="D90" t="s">
        <v>92</v>
      </c>
      <c r="E90" s="7"/>
      <c r="F90" s="7"/>
    </row>
    <row r="91" spans="1:6" x14ac:dyDescent="0.25">
      <c r="A91" s="12">
        <v>6</v>
      </c>
      <c r="B91" t="s">
        <v>91</v>
      </c>
      <c r="C91" s="12" t="s">
        <v>50</v>
      </c>
      <c r="D91" t="s">
        <v>92</v>
      </c>
      <c r="E91" s="7"/>
      <c r="F91" s="7"/>
    </row>
    <row r="93" spans="1:10" x14ac:dyDescent="0.25">
      <c r="A93" s="3" t="s">
        <v>58</v>
      </c>
      <c r="B93" s="3" t="s">
        <v>59</v>
      </c>
      <c r="C93" s="3" t="s">
        <v>60</v>
      </c>
      <c r="D93" s="3" t="s">
        <v>61</v>
      </c>
      <c r="E93" s="3" t="s">
        <v>62</v>
      </c>
      <c r="F93" s="3" t="s">
        <v>63</v>
      </c>
      <c r="G93" s="3" t="s">
        <v>64</v>
      </c>
      <c r="H93" s="3" t="s">
        <v>65</v>
      </c>
      <c r="I93" s="3" t="s">
        <v>66</v>
      </c>
      <c r="J93" s="3" t="s">
        <v>67</v>
      </c>
    </row>
    <row r="94" spans="1:10" x14ac:dyDescent="0.25">
      <c r="A94" s="13">
        <f>SUMPRODUCT((J94:J97&gt;J94)*1)+SUMPRODUCT((J94:J97=J94)*(I94:I97&gt;I94))+SUMPRODUCT((J94:J97=J94)*(I94:I97=I94)*(G94:G97&gt;G94))+1</f>
      </c>
      <c r="B94" s="14" t="s">
        <v>89</v>
      </c>
      <c r="C94" s="8">
        <f>D94+E94+F94</f>
      </c>
      <c r="D94" s="8">
        <f>SUMPRODUCT(($B$86:$B$91="Países Bajos")*($E$86:$E$91&gt;$F$86:$F$91)*($E$86:$E$91&lt;&gt;"")*($F$86:$F$91&lt;&gt;""))+SUMPRODUCT(($D$86:$D$91="Países Bajos")*($F$86:$F$91&gt;$E$86:$E$91)*($E$86:$E$91&lt;&gt;"")*($F$86:$F$91&lt;&gt;""))</f>
      </c>
      <c r="E94" s="8">
        <f>SUMPRODUCT((($B$86:$B$91="Países Bajos")+($D$86:$D$91="Países Bajos"))*($E$86:$E$91=$F$86:$F$91)*($E$86:$E$91&lt;&gt;"")*($F$86:$F$91&lt;&gt;""))</f>
      </c>
      <c r="F94" s="8">
        <f>SUMPRODUCT(($B$86:$B$91="Países Bajos")*($E$86:$E$91&lt;$F$86:$F$91)*($E$86:$E$91&lt;&gt;"")*($F$86:$F$91&lt;&gt;""))+SUMPRODUCT(($D$86:$D$91="Países Bajos")*($F$86:$F$91&lt;$E$86:$E$91)*($E$86:$E$91&lt;&gt;"")*($F$86:$F$91&lt;&gt;""))</f>
      </c>
      <c r="G94" s="8">
        <f>SUMPRODUCT(($B$86:$B$91="Países Bajos")*$E$86:$E$91*($E$86:$E$91&lt;&gt;"")*($F$86:$F$91&lt;&gt;""))+SUMPRODUCT(($D$86:$D$91="Países Bajos")*$F$86:$F$91*($E$86:$E$91&lt;&gt;"")*($F$86:$F$91&lt;&gt;""))</f>
      </c>
      <c r="H94" s="8">
        <f>SUMPRODUCT(($B$86:$B$91="Países Bajos")*$F$86:$F$91*($E$86:$E$91&lt;&gt;"")*($F$86:$F$91&lt;&gt;""))+SUMPRODUCT(($D$86:$D$91="Países Bajos")*$E$86:$E$91*($E$86:$E$91&lt;&gt;"")*($F$86:$F$91&lt;&gt;""))</f>
      </c>
      <c r="I94" s="8">
        <f>G94-H94</f>
      </c>
      <c r="J94" s="13">
        <f>D94*3+E94</f>
      </c>
    </row>
    <row r="95" spans="1:10" x14ac:dyDescent="0.25">
      <c r="A95" s="13">
        <f>SUMPRODUCT((J94:J97&gt;J95)*1)+SUMPRODUCT((J94:J97=J95)*(I94:I97&gt;I95))+SUMPRODUCT((J94:J97=J95)*(I94:I97=I95)*(G94:G97&gt;G95))+1</f>
      </c>
      <c r="B95" s="14" t="s">
        <v>90</v>
      </c>
      <c r="C95" s="8">
        <f>D95+E95+F95</f>
      </c>
      <c r="D95" s="8">
        <f>SUMPRODUCT(($B$86:$B$91="Japón")*($E$86:$E$91&gt;$F$86:$F$91)*($E$86:$E$91&lt;&gt;"")*($F$86:$F$91&lt;&gt;""))+SUMPRODUCT(($D$86:$D$91="Japón")*($F$86:$F$91&gt;$E$86:$E$91)*($E$86:$E$91&lt;&gt;"")*($F$86:$F$91&lt;&gt;""))</f>
      </c>
      <c r="E95" s="8">
        <f>SUMPRODUCT((($B$86:$B$91="Japón")+($D$86:$D$91="Japón"))*($E$86:$E$91=$F$86:$F$91)*($E$86:$E$91&lt;&gt;"")*($F$86:$F$91&lt;&gt;""))</f>
      </c>
      <c r="F95" s="8">
        <f>SUMPRODUCT(($B$86:$B$91="Japón")*($E$86:$E$91&lt;$F$86:$F$91)*($E$86:$E$91&lt;&gt;"")*($F$86:$F$91&lt;&gt;""))+SUMPRODUCT(($D$86:$D$91="Japón")*($F$86:$F$91&lt;$E$86:$E$91)*($E$86:$E$91&lt;&gt;"")*($F$86:$F$91&lt;&gt;""))</f>
      </c>
      <c r="G95" s="8">
        <f>SUMPRODUCT(($B$86:$B$91="Japón")*$E$86:$E$91*($E$86:$E$91&lt;&gt;"")*($F$86:$F$91&lt;&gt;""))+SUMPRODUCT(($D$86:$D$91="Japón")*$F$86:$F$91*($E$86:$E$91&lt;&gt;"")*($F$86:$F$91&lt;&gt;""))</f>
      </c>
      <c r="H95" s="8">
        <f>SUMPRODUCT(($B$86:$B$91="Japón")*$F$86:$F$91*($E$86:$E$91&lt;&gt;"")*($F$86:$F$91&lt;&gt;""))+SUMPRODUCT(($D$86:$D$91="Japón")*$E$86:$E$91*($E$86:$E$91&lt;&gt;"")*($F$86:$F$91&lt;&gt;""))</f>
      </c>
      <c r="I95" s="8">
        <f>G95-H95</f>
      </c>
      <c r="J95" s="13">
        <f>D95*3+E95</f>
      </c>
    </row>
    <row r="96" spans="1:10" x14ac:dyDescent="0.25">
      <c r="A96" s="13">
        <f>SUMPRODUCT((J94:J97&gt;J96)*1)+SUMPRODUCT((J94:J97=J96)*(I94:I97&gt;I96))+SUMPRODUCT((J94:J97=J96)*(I94:I97=I96)*(G94:G97&gt;G96))+1</f>
      </c>
      <c r="B96" s="14" t="s">
        <v>91</v>
      </c>
      <c r="C96" s="8">
        <f>D96+E96+F96</f>
      </c>
      <c r="D96" s="8">
        <f>SUMPRODUCT(($B$86:$B$91="Suecia")*($E$86:$E$91&gt;$F$86:$F$91)*($E$86:$E$91&lt;&gt;"")*($F$86:$F$91&lt;&gt;""))+SUMPRODUCT(($D$86:$D$91="Suecia")*($F$86:$F$91&gt;$E$86:$E$91)*($E$86:$E$91&lt;&gt;"")*($F$86:$F$91&lt;&gt;""))</f>
      </c>
      <c r="E96" s="8">
        <f>SUMPRODUCT((($B$86:$B$91="Suecia")+($D$86:$D$91="Suecia"))*($E$86:$E$91=$F$86:$F$91)*($E$86:$E$91&lt;&gt;"")*($F$86:$F$91&lt;&gt;""))</f>
      </c>
      <c r="F96" s="8">
        <f>SUMPRODUCT(($B$86:$B$91="Suecia")*($E$86:$E$91&lt;$F$86:$F$91)*($E$86:$E$91&lt;&gt;"")*($F$86:$F$91&lt;&gt;""))+SUMPRODUCT(($D$86:$D$91="Suecia")*($F$86:$F$91&lt;$E$86:$E$91)*($E$86:$E$91&lt;&gt;"")*($F$86:$F$91&lt;&gt;""))</f>
      </c>
      <c r="G96" s="8">
        <f>SUMPRODUCT(($B$86:$B$91="Suecia")*$E$86:$E$91*($E$86:$E$91&lt;&gt;"")*($F$86:$F$91&lt;&gt;""))+SUMPRODUCT(($D$86:$D$91="Suecia")*$F$86:$F$91*($E$86:$E$91&lt;&gt;"")*($F$86:$F$91&lt;&gt;""))</f>
      </c>
      <c r="H96" s="8">
        <f>SUMPRODUCT(($B$86:$B$91="Suecia")*$F$86:$F$91*($E$86:$E$91&lt;&gt;"")*($F$86:$F$91&lt;&gt;""))+SUMPRODUCT(($D$86:$D$91="Suecia")*$E$86:$E$91*($E$86:$E$91&lt;&gt;"")*($F$86:$F$91&lt;&gt;""))</f>
      </c>
      <c r="I96" s="8">
        <f>G96-H96</f>
      </c>
      <c r="J96" s="13">
        <f>D96*3+E96</f>
      </c>
    </row>
    <row r="97" spans="1:10" x14ac:dyDescent="0.25">
      <c r="A97" s="13">
        <f>SUMPRODUCT((J94:J97&gt;J97)*1)+SUMPRODUCT((J94:J97=J97)*(I94:I97&gt;I97))+SUMPRODUCT((J94:J97=J97)*(I94:I97=I97)*(G94:G97&gt;G97))+1</f>
      </c>
      <c r="B97" s="14" t="s">
        <v>92</v>
      </c>
      <c r="C97" s="8">
        <f>D97+E97+F97</f>
      </c>
      <c r="D97" s="8">
        <f>SUMPRODUCT(($B$86:$B$91="Túnez")*($E$86:$E$91&gt;$F$86:$F$91)*($E$86:$E$91&lt;&gt;"")*($F$86:$F$91&lt;&gt;""))+SUMPRODUCT(($D$86:$D$91="Túnez")*($F$86:$F$91&gt;$E$86:$E$91)*($E$86:$E$91&lt;&gt;"")*($F$86:$F$91&lt;&gt;""))</f>
      </c>
      <c r="E97" s="8">
        <f>SUMPRODUCT((($B$86:$B$91="Túnez")+($D$86:$D$91="Túnez"))*($E$86:$E$91=$F$86:$F$91)*($E$86:$E$91&lt;&gt;"")*($F$86:$F$91&lt;&gt;""))</f>
      </c>
      <c r="F97" s="8">
        <f>SUMPRODUCT(($B$86:$B$91="Túnez")*($E$86:$E$91&lt;$F$86:$F$91)*($E$86:$E$91&lt;&gt;"")*($F$86:$F$91&lt;&gt;""))+SUMPRODUCT(($D$86:$D$91="Túnez")*($F$86:$F$91&lt;$E$86:$E$91)*($E$86:$E$91&lt;&gt;"")*($F$86:$F$91&lt;&gt;""))</f>
      </c>
      <c r="G97" s="8">
        <f>SUMPRODUCT(($B$86:$B$91="Túnez")*$E$86:$E$91*($E$86:$E$91&lt;&gt;"")*($F$86:$F$91&lt;&gt;""))+SUMPRODUCT(($D$86:$D$91="Túnez")*$F$86:$F$91*($E$86:$E$91&lt;&gt;"")*($F$86:$F$91&lt;&gt;""))</f>
      </c>
      <c r="H97" s="8">
        <f>SUMPRODUCT(($B$86:$B$91="Túnez")*$F$86:$F$91*($E$86:$E$91&lt;&gt;"")*($F$86:$F$91&lt;&gt;""))+SUMPRODUCT(($D$86:$D$91="Túnez")*$E$86:$E$91*($E$86:$E$91&lt;&gt;"")*($F$86:$F$91&lt;&gt;""))</f>
      </c>
      <c r="I97" s="8">
        <f>G97-H97</f>
      </c>
      <c r="J97" s="13">
        <f>D97*3+E97</f>
      </c>
    </row>
    <row r="100" spans="1:10" x14ac:dyDescent="0.25">
      <c r="A100" s="11" t="s">
        <v>93</v>
      </c>
      <c r="B100" s="11"/>
      <c r="C100" s="11"/>
      <c r="D100" s="11"/>
      <c r="E100" s="11"/>
      <c r="F100" s="11"/>
      <c r="G100" s="11"/>
      <c r="H100" s="11"/>
      <c r="I100" s="11"/>
      <c r="J100" s="11"/>
    </row>
    <row r="101" spans="1:6" x14ac:dyDescent="0.25">
      <c r="A101" s="3" t="s">
        <v>48</v>
      </c>
      <c r="B101" s="3" t="s">
        <v>49</v>
      </c>
      <c r="C101" s="3" t="s">
        <v>50</v>
      </c>
      <c r="D101" s="3" t="s">
        <v>51</v>
      </c>
      <c r="E101" s="3" t="s">
        <v>52</v>
      </c>
      <c r="F101" s="3" t="s">
        <v>53</v>
      </c>
    </row>
    <row r="102" spans="1:6" x14ac:dyDescent="0.25">
      <c r="A102" s="12">
        <v>1</v>
      </c>
      <c r="B102" t="s">
        <v>94</v>
      </c>
      <c r="C102" s="12" t="s">
        <v>50</v>
      </c>
      <c r="D102" t="s">
        <v>95</v>
      </c>
      <c r="E102" s="7"/>
      <c r="F102" s="7"/>
    </row>
    <row r="103" spans="1:6" x14ac:dyDescent="0.25">
      <c r="A103" s="12">
        <v>2</v>
      </c>
      <c r="B103" t="s">
        <v>94</v>
      </c>
      <c r="C103" s="12" t="s">
        <v>50</v>
      </c>
      <c r="D103" t="s">
        <v>96</v>
      </c>
      <c r="E103" s="7"/>
      <c r="F103" s="7"/>
    </row>
    <row r="104" spans="1:6" x14ac:dyDescent="0.25">
      <c r="A104" s="12">
        <v>3</v>
      </c>
      <c r="B104" t="s">
        <v>94</v>
      </c>
      <c r="C104" s="12" t="s">
        <v>50</v>
      </c>
      <c r="D104" t="s">
        <v>97</v>
      </c>
      <c r="E104" s="7"/>
      <c r="F104" s="7"/>
    </row>
    <row r="105" spans="1:6" x14ac:dyDescent="0.25">
      <c r="A105" s="12">
        <v>4</v>
      </c>
      <c r="B105" t="s">
        <v>95</v>
      </c>
      <c r="C105" s="12" t="s">
        <v>50</v>
      </c>
      <c r="D105" t="s">
        <v>96</v>
      </c>
      <c r="E105" s="7"/>
      <c r="F105" s="7"/>
    </row>
    <row r="106" spans="1:6" x14ac:dyDescent="0.25">
      <c r="A106" s="12">
        <v>5</v>
      </c>
      <c r="B106" t="s">
        <v>95</v>
      </c>
      <c r="C106" s="12" t="s">
        <v>50</v>
      </c>
      <c r="D106" t="s">
        <v>97</v>
      </c>
      <c r="E106" s="7"/>
      <c r="F106" s="7"/>
    </row>
    <row r="107" spans="1:6" x14ac:dyDescent="0.25">
      <c r="A107" s="12">
        <v>6</v>
      </c>
      <c r="B107" t="s">
        <v>96</v>
      </c>
      <c r="C107" s="12" t="s">
        <v>50</v>
      </c>
      <c r="D107" t="s">
        <v>97</v>
      </c>
      <c r="E107" s="7"/>
      <c r="F107" s="7"/>
    </row>
    <row r="109" spans="1:10" x14ac:dyDescent="0.25">
      <c r="A109" s="3" t="s">
        <v>58</v>
      </c>
      <c r="B109" s="3" t="s">
        <v>59</v>
      </c>
      <c r="C109" s="3" t="s">
        <v>60</v>
      </c>
      <c r="D109" s="3" t="s">
        <v>61</v>
      </c>
      <c r="E109" s="3" t="s">
        <v>62</v>
      </c>
      <c r="F109" s="3" t="s">
        <v>63</v>
      </c>
      <c r="G109" s="3" t="s">
        <v>64</v>
      </c>
      <c r="H109" s="3" t="s">
        <v>65</v>
      </c>
      <c r="I109" s="3" t="s">
        <v>66</v>
      </c>
      <c r="J109" s="3" t="s">
        <v>67</v>
      </c>
    </row>
    <row r="110" spans="1:10" x14ac:dyDescent="0.25">
      <c r="A110" s="13">
        <f>SUMPRODUCT((J110:J113&gt;J110)*1)+SUMPRODUCT((J110:J113=J110)*(I110:I113&gt;I110))+SUMPRODUCT((J110:J113=J110)*(I110:I113=I110)*(G110:G113&gt;G110))+1</f>
      </c>
      <c r="B110" s="14" t="s">
        <v>94</v>
      </c>
      <c r="C110" s="8">
        <f>D110+E110+F110</f>
      </c>
      <c r="D110" s="8">
        <f>SUMPRODUCT(($B$102:$B$107="Bélgica")*($E$102:$E$107&gt;$F$102:$F$107)*($E$102:$E$107&lt;&gt;"")*($F$102:$F$107&lt;&gt;""))+SUMPRODUCT(($D$102:$D$107="Bélgica")*($F$102:$F$107&gt;$E$102:$E$107)*($E$102:$E$107&lt;&gt;"")*($F$102:$F$107&lt;&gt;""))</f>
      </c>
      <c r="E110" s="8">
        <f>SUMPRODUCT((($B$102:$B$107="Bélgica")+($D$102:$D$107="Bélgica"))*($E$102:$E$107=$F$102:$F$107)*($E$102:$E$107&lt;&gt;"")*($F$102:$F$107&lt;&gt;""))</f>
      </c>
      <c r="F110" s="8">
        <f>SUMPRODUCT(($B$102:$B$107="Bélgica")*($E$102:$E$107&lt;$F$102:$F$107)*($E$102:$E$107&lt;&gt;"")*($F$102:$F$107&lt;&gt;""))+SUMPRODUCT(($D$102:$D$107="Bélgica")*($F$102:$F$107&lt;$E$102:$E$107)*($E$102:$E$107&lt;&gt;"")*($F$102:$F$107&lt;&gt;""))</f>
      </c>
      <c r="G110" s="8">
        <f>SUMPRODUCT(($B$102:$B$107="Bélgica")*$E$102:$E$107*($E$102:$E$107&lt;&gt;"")*($F$102:$F$107&lt;&gt;""))+SUMPRODUCT(($D$102:$D$107="Bélgica")*$F$102:$F$107*($E$102:$E$107&lt;&gt;"")*($F$102:$F$107&lt;&gt;""))</f>
      </c>
      <c r="H110" s="8">
        <f>SUMPRODUCT(($B$102:$B$107="Bélgica")*$F$102:$F$107*($E$102:$E$107&lt;&gt;"")*($F$102:$F$107&lt;&gt;""))+SUMPRODUCT(($D$102:$D$107="Bélgica")*$E$102:$E$107*($E$102:$E$107&lt;&gt;"")*($F$102:$F$107&lt;&gt;""))</f>
      </c>
      <c r="I110" s="8">
        <f>G110-H110</f>
      </c>
      <c r="J110" s="13">
        <f>D110*3+E110</f>
      </c>
    </row>
    <row r="111" spans="1:10" x14ac:dyDescent="0.25">
      <c r="A111" s="13">
        <f>SUMPRODUCT((J110:J113&gt;J111)*1)+SUMPRODUCT((J110:J113=J111)*(I110:I113&gt;I111))+SUMPRODUCT((J110:J113=J111)*(I110:I113=I111)*(G110:G113&gt;G111))+1</f>
      </c>
      <c r="B111" s="14" t="s">
        <v>95</v>
      </c>
      <c r="C111" s="8">
        <f>D111+E111+F111</f>
      </c>
      <c r="D111" s="8">
        <f>SUMPRODUCT(($B$102:$B$107="Egipto")*($E$102:$E$107&gt;$F$102:$F$107)*($E$102:$E$107&lt;&gt;"")*($F$102:$F$107&lt;&gt;""))+SUMPRODUCT(($D$102:$D$107="Egipto")*($F$102:$F$107&gt;$E$102:$E$107)*($E$102:$E$107&lt;&gt;"")*($F$102:$F$107&lt;&gt;""))</f>
      </c>
      <c r="E111" s="8">
        <f>SUMPRODUCT((($B$102:$B$107="Egipto")+($D$102:$D$107="Egipto"))*($E$102:$E$107=$F$102:$F$107)*($E$102:$E$107&lt;&gt;"")*($F$102:$F$107&lt;&gt;""))</f>
      </c>
      <c r="F111" s="8">
        <f>SUMPRODUCT(($B$102:$B$107="Egipto")*($E$102:$E$107&lt;$F$102:$F$107)*($E$102:$E$107&lt;&gt;"")*($F$102:$F$107&lt;&gt;""))+SUMPRODUCT(($D$102:$D$107="Egipto")*($F$102:$F$107&lt;$E$102:$E$107)*($E$102:$E$107&lt;&gt;"")*($F$102:$F$107&lt;&gt;""))</f>
      </c>
      <c r="G111" s="8">
        <f>SUMPRODUCT(($B$102:$B$107="Egipto")*$E$102:$E$107*($E$102:$E$107&lt;&gt;"")*($F$102:$F$107&lt;&gt;""))+SUMPRODUCT(($D$102:$D$107="Egipto")*$F$102:$F$107*($E$102:$E$107&lt;&gt;"")*($F$102:$F$107&lt;&gt;""))</f>
      </c>
      <c r="H111" s="8">
        <f>SUMPRODUCT(($B$102:$B$107="Egipto")*$F$102:$F$107*($E$102:$E$107&lt;&gt;"")*($F$102:$F$107&lt;&gt;""))+SUMPRODUCT(($D$102:$D$107="Egipto")*$E$102:$E$107*($E$102:$E$107&lt;&gt;"")*($F$102:$F$107&lt;&gt;""))</f>
      </c>
      <c r="I111" s="8">
        <f>G111-H111</f>
      </c>
      <c r="J111" s="13">
        <f>D111*3+E111</f>
      </c>
    </row>
    <row r="112" spans="1:10" x14ac:dyDescent="0.25">
      <c r="A112" s="13">
        <f>SUMPRODUCT((J110:J113&gt;J112)*1)+SUMPRODUCT((J110:J113=J112)*(I110:I113&gt;I112))+SUMPRODUCT((J110:J113=J112)*(I110:I113=I112)*(G110:G113&gt;G112))+1</f>
      </c>
      <c r="B112" s="14" t="s">
        <v>96</v>
      </c>
      <c r="C112" s="8">
        <f>D112+E112+F112</f>
      </c>
      <c r="D112" s="8">
        <f>SUMPRODUCT(($B$102:$B$107="Irán")*($E$102:$E$107&gt;$F$102:$F$107)*($E$102:$E$107&lt;&gt;"")*($F$102:$F$107&lt;&gt;""))+SUMPRODUCT(($D$102:$D$107="Irán")*($F$102:$F$107&gt;$E$102:$E$107)*($E$102:$E$107&lt;&gt;"")*($F$102:$F$107&lt;&gt;""))</f>
      </c>
      <c r="E112" s="8">
        <f>SUMPRODUCT((($B$102:$B$107="Irán")+($D$102:$D$107="Irán"))*($E$102:$E$107=$F$102:$F$107)*($E$102:$E$107&lt;&gt;"")*($F$102:$F$107&lt;&gt;""))</f>
      </c>
      <c r="F112" s="8">
        <f>SUMPRODUCT(($B$102:$B$107="Irán")*($E$102:$E$107&lt;$F$102:$F$107)*($E$102:$E$107&lt;&gt;"")*($F$102:$F$107&lt;&gt;""))+SUMPRODUCT(($D$102:$D$107="Irán")*($F$102:$F$107&lt;$E$102:$E$107)*($E$102:$E$107&lt;&gt;"")*($F$102:$F$107&lt;&gt;""))</f>
      </c>
      <c r="G112" s="8">
        <f>SUMPRODUCT(($B$102:$B$107="Irán")*$E$102:$E$107*($E$102:$E$107&lt;&gt;"")*($F$102:$F$107&lt;&gt;""))+SUMPRODUCT(($D$102:$D$107="Irán")*$F$102:$F$107*($E$102:$E$107&lt;&gt;"")*($F$102:$F$107&lt;&gt;""))</f>
      </c>
      <c r="H112" s="8">
        <f>SUMPRODUCT(($B$102:$B$107="Irán")*$F$102:$F$107*($E$102:$E$107&lt;&gt;"")*($F$102:$F$107&lt;&gt;""))+SUMPRODUCT(($D$102:$D$107="Irán")*$E$102:$E$107*($E$102:$E$107&lt;&gt;"")*($F$102:$F$107&lt;&gt;""))</f>
      </c>
      <c r="I112" s="8">
        <f>G112-H112</f>
      </c>
      <c r="J112" s="13">
        <f>D112*3+E112</f>
      </c>
    </row>
    <row r="113" spans="1:10" x14ac:dyDescent="0.25">
      <c r="A113" s="13">
        <f>SUMPRODUCT((J110:J113&gt;J113)*1)+SUMPRODUCT((J110:J113=J113)*(I110:I113&gt;I113))+SUMPRODUCT((J110:J113=J113)*(I110:I113=I113)*(G110:G113&gt;G113))+1</f>
      </c>
      <c r="B113" s="14" t="s">
        <v>97</v>
      </c>
      <c r="C113" s="8">
        <f>D113+E113+F113</f>
      </c>
      <c r="D113" s="8">
        <f>SUMPRODUCT(($B$102:$B$107="Nueva Zelanda")*($E$102:$E$107&gt;$F$102:$F$107)*($E$102:$E$107&lt;&gt;"")*($F$102:$F$107&lt;&gt;""))+SUMPRODUCT(($D$102:$D$107="Nueva Zelanda")*($F$102:$F$107&gt;$E$102:$E$107)*($E$102:$E$107&lt;&gt;"")*($F$102:$F$107&lt;&gt;""))</f>
      </c>
      <c r="E113" s="8">
        <f>SUMPRODUCT((($B$102:$B$107="Nueva Zelanda")+($D$102:$D$107="Nueva Zelanda"))*($E$102:$E$107=$F$102:$F$107)*($E$102:$E$107&lt;&gt;"")*($F$102:$F$107&lt;&gt;""))</f>
      </c>
      <c r="F113" s="8">
        <f>SUMPRODUCT(($B$102:$B$107="Nueva Zelanda")*($E$102:$E$107&lt;$F$102:$F$107)*($E$102:$E$107&lt;&gt;"")*($F$102:$F$107&lt;&gt;""))+SUMPRODUCT(($D$102:$D$107="Nueva Zelanda")*($F$102:$F$107&lt;$E$102:$E$107)*($E$102:$E$107&lt;&gt;"")*($F$102:$F$107&lt;&gt;""))</f>
      </c>
      <c r="G113" s="8">
        <f>SUMPRODUCT(($B$102:$B$107="Nueva Zelanda")*$E$102:$E$107*($E$102:$E$107&lt;&gt;"")*($F$102:$F$107&lt;&gt;""))+SUMPRODUCT(($D$102:$D$107="Nueva Zelanda")*$F$102:$F$107*($E$102:$E$107&lt;&gt;"")*($F$102:$F$107&lt;&gt;""))</f>
      </c>
      <c r="H113" s="8">
        <f>SUMPRODUCT(($B$102:$B$107="Nueva Zelanda")*$F$102:$F$107*($E$102:$E$107&lt;&gt;"")*($F$102:$F$107&lt;&gt;""))+SUMPRODUCT(($D$102:$D$107="Nueva Zelanda")*$E$102:$E$107*($E$102:$E$107&lt;&gt;"")*($F$102:$F$107&lt;&gt;""))</f>
      </c>
      <c r="I113" s="8">
        <f>G113-H113</f>
      </c>
      <c r="J113" s="13">
        <f>D113*3+E113</f>
      </c>
    </row>
    <row r="116" spans="1:10" x14ac:dyDescent="0.25">
      <c r="A116" s="11" t="s">
        <v>98</v>
      </c>
      <c r="B116" s="11"/>
      <c r="C116" s="11"/>
      <c r="D116" s="11"/>
      <c r="E116" s="11"/>
      <c r="F116" s="11"/>
      <c r="G116" s="11"/>
      <c r="H116" s="11"/>
      <c r="I116" s="11"/>
      <c r="J116" s="11"/>
    </row>
    <row r="117" spans="1:6" x14ac:dyDescent="0.25">
      <c r="A117" s="3" t="s">
        <v>48</v>
      </c>
      <c r="B117" s="3" t="s">
        <v>49</v>
      </c>
      <c r="C117" s="3" t="s">
        <v>50</v>
      </c>
      <c r="D117" s="3" t="s">
        <v>51</v>
      </c>
      <c r="E117" s="3" t="s">
        <v>52</v>
      </c>
      <c r="F117" s="3" t="s">
        <v>53</v>
      </c>
    </row>
    <row r="118" spans="1:6" x14ac:dyDescent="0.25">
      <c r="A118" s="12">
        <v>1</v>
      </c>
      <c r="B118" t="s">
        <v>99</v>
      </c>
      <c r="C118" s="12" t="s">
        <v>50</v>
      </c>
      <c r="D118" t="s">
        <v>100</v>
      </c>
      <c r="E118" s="7"/>
      <c r="F118" s="7"/>
    </row>
    <row r="119" spans="1:6" x14ac:dyDescent="0.25">
      <c r="A119" s="12">
        <v>2</v>
      </c>
      <c r="B119" t="s">
        <v>99</v>
      </c>
      <c r="C119" s="12" t="s">
        <v>50</v>
      </c>
      <c r="D119" t="s">
        <v>101</v>
      </c>
      <c r="E119" s="7"/>
      <c r="F119" s="7"/>
    </row>
    <row r="120" spans="1:6" x14ac:dyDescent="0.25">
      <c r="A120" s="12">
        <v>3</v>
      </c>
      <c r="B120" t="s">
        <v>99</v>
      </c>
      <c r="C120" s="12" t="s">
        <v>50</v>
      </c>
      <c r="D120" t="s">
        <v>102</v>
      </c>
      <c r="E120" s="7"/>
      <c r="F120" s="7"/>
    </row>
    <row r="121" spans="1:6" x14ac:dyDescent="0.25">
      <c r="A121" s="12">
        <v>4</v>
      </c>
      <c r="B121" t="s">
        <v>100</v>
      </c>
      <c r="C121" s="12" t="s">
        <v>50</v>
      </c>
      <c r="D121" t="s">
        <v>101</v>
      </c>
      <c r="E121" s="7"/>
      <c r="F121" s="7"/>
    </row>
    <row r="122" spans="1:6" x14ac:dyDescent="0.25">
      <c r="A122" s="12">
        <v>5</v>
      </c>
      <c r="B122" t="s">
        <v>100</v>
      </c>
      <c r="C122" s="12" t="s">
        <v>50</v>
      </c>
      <c r="D122" t="s">
        <v>102</v>
      </c>
      <c r="E122" s="7"/>
      <c r="F122" s="7"/>
    </row>
    <row r="123" spans="1:6" x14ac:dyDescent="0.25">
      <c r="A123" s="12">
        <v>6</v>
      </c>
      <c r="B123" t="s">
        <v>101</v>
      </c>
      <c r="C123" s="12" t="s">
        <v>50</v>
      </c>
      <c r="D123" t="s">
        <v>102</v>
      </c>
      <c r="E123" s="7"/>
      <c r="F123" s="7"/>
    </row>
    <row r="125" spans="1:10" x14ac:dyDescent="0.25">
      <c r="A125" s="3" t="s">
        <v>58</v>
      </c>
      <c r="B125" s="3" t="s">
        <v>59</v>
      </c>
      <c r="C125" s="3" t="s">
        <v>60</v>
      </c>
      <c r="D125" s="3" t="s">
        <v>61</v>
      </c>
      <c r="E125" s="3" t="s">
        <v>62</v>
      </c>
      <c r="F125" s="3" t="s">
        <v>63</v>
      </c>
      <c r="G125" s="3" t="s">
        <v>64</v>
      </c>
      <c r="H125" s="3" t="s">
        <v>65</v>
      </c>
      <c r="I125" s="3" t="s">
        <v>66</v>
      </c>
      <c r="J125" s="3" t="s">
        <v>67</v>
      </c>
    </row>
    <row r="126" spans="1:10" x14ac:dyDescent="0.25">
      <c r="A126" s="13">
        <f>SUMPRODUCT((J126:J129&gt;J126)*1)+SUMPRODUCT((J126:J129=J126)*(I126:I129&gt;I126))+SUMPRODUCT((J126:J129=J126)*(I126:I129=I126)*(G126:G129&gt;G126))+1</f>
      </c>
      <c r="B126" s="14" t="s">
        <v>99</v>
      </c>
      <c r="C126" s="8">
        <f>D126+E126+F126</f>
      </c>
      <c r="D126" s="8">
        <f>SUMPRODUCT(($B$118:$B$123="España")*($E$118:$E$123&gt;$F$118:$F$123)*($E$118:$E$123&lt;&gt;"")*($F$118:$F$123&lt;&gt;""))+SUMPRODUCT(($D$118:$D$123="España")*($F$118:$F$123&gt;$E$118:$E$123)*($E$118:$E$123&lt;&gt;"")*($F$118:$F$123&lt;&gt;""))</f>
      </c>
      <c r="E126" s="8">
        <f>SUMPRODUCT((($B$118:$B$123="España")+($D$118:$D$123="España"))*($E$118:$E$123=$F$118:$F$123)*($E$118:$E$123&lt;&gt;"")*($F$118:$F$123&lt;&gt;""))</f>
      </c>
      <c r="F126" s="8">
        <f>SUMPRODUCT(($B$118:$B$123="España")*($E$118:$E$123&lt;$F$118:$F$123)*($E$118:$E$123&lt;&gt;"")*($F$118:$F$123&lt;&gt;""))+SUMPRODUCT(($D$118:$D$123="España")*($F$118:$F$123&lt;$E$118:$E$123)*($E$118:$E$123&lt;&gt;"")*($F$118:$F$123&lt;&gt;""))</f>
      </c>
      <c r="G126" s="8">
        <f>SUMPRODUCT(($B$118:$B$123="España")*$E$118:$E$123*($E$118:$E$123&lt;&gt;"")*($F$118:$F$123&lt;&gt;""))+SUMPRODUCT(($D$118:$D$123="España")*$F$118:$F$123*($E$118:$E$123&lt;&gt;"")*($F$118:$F$123&lt;&gt;""))</f>
      </c>
      <c r="H126" s="8">
        <f>SUMPRODUCT(($B$118:$B$123="España")*$F$118:$F$123*($E$118:$E$123&lt;&gt;"")*($F$118:$F$123&lt;&gt;""))+SUMPRODUCT(($D$118:$D$123="España")*$E$118:$E$123*($E$118:$E$123&lt;&gt;"")*($F$118:$F$123&lt;&gt;""))</f>
      </c>
      <c r="I126" s="8">
        <f>G126-H126</f>
      </c>
      <c r="J126" s="13">
        <f>D126*3+E126</f>
      </c>
    </row>
    <row r="127" spans="1:10" x14ac:dyDescent="0.25">
      <c r="A127" s="13">
        <f>SUMPRODUCT((J126:J129&gt;J127)*1)+SUMPRODUCT((J126:J129=J127)*(I126:I129&gt;I127))+SUMPRODUCT((J126:J129=J127)*(I126:I129=I127)*(G126:G129&gt;G127))+1</f>
      </c>
      <c r="B127" s="14" t="s">
        <v>100</v>
      </c>
      <c r="C127" s="8">
        <f>D127+E127+F127</f>
      </c>
      <c r="D127" s="8">
        <f>SUMPRODUCT(($B$118:$B$123="Cabo Verde")*($E$118:$E$123&gt;$F$118:$F$123)*($E$118:$E$123&lt;&gt;"")*($F$118:$F$123&lt;&gt;""))+SUMPRODUCT(($D$118:$D$123="Cabo Verde")*($F$118:$F$123&gt;$E$118:$E$123)*($E$118:$E$123&lt;&gt;"")*($F$118:$F$123&lt;&gt;""))</f>
      </c>
      <c r="E127" s="8">
        <f>SUMPRODUCT((($B$118:$B$123="Cabo Verde")+($D$118:$D$123="Cabo Verde"))*($E$118:$E$123=$F$118:$F$123)*($E$118:$E$123&lt;&gt;"")*($F$118:$F$123&lt;&gt;""))</f>
      </c>
      <c r="F127" s="8">
        <f>SUMPRODUCT(($B$118:$B$123="Cabo Verde")*($E$118:$E$123&lt;$F$118:$F$123)*($E$118:$E$123&lt;&gt;"")*($F$118:$F$123&lt;&gt;""))+SUMPRODUCT(($D$118:$D$123="Cabo Verde")*($F$118:$F$123&lt;$E$118:$E$123)*($E$118:$E$123&lt;&gt;"")*($F$118:$F$123&lt;&gt;""))</f>
      </c>
      <c r="G127" s="8">
        <f>SUMPRODUCT(($B$118:$B$123="Cabo Verde")*$E$118:$E$123*($E$118:$E$123&lt;&gt;"")*($F$118:$F$123&lt;&gt;""))+SUMPRODUCT(($D$118:$D$123="Cabo Verde")*$F$118:$F$123*($E$118:$E$123&lt;&gt;"")*($F$118:$F$123&lt;&gt;""))</f>
      </c>
      <c r="H127" s="8">
        <f>SUMPRODUCT(($B$118:$B$123="Cabo Verde")*$F$118:$F$123*($E$118:$E$123&lt;&gt;"")*($F$118:$F$123&lt;&gt;""))+SUMPRODUCT(($D$118:$D$123="Cabo Verde")*$E$118:$E$123*($E$118:$E$123&lt;&gt;"")*($F$118:$F$123&lt;&gt;""))</f>
      </c>
      <c r="I127" s="8">
        <f>G127-H127</f>
      </c>
      <c r="J127" s="13">
        <f>D127*3+E127</f>
      </c>
    </row>
    <row r="128" spans="1:10" x14ac:dyDescent="0.25">
      <c r="A128" s="13">
        <f>SUMPRODUCT((J126:J129&gt;J128)*1)+SUMPRODUCT((J126:J129=J128)*(I126:I129&gt;I128))+SUMPRODUCT((J126:J129=J128)*(I126:I129=I128)*(G126:G129&gt;G128))+1</f>
      </c>
      <c r="B128" s="14" t="s">
        <v>101</v>
      </c>
      <c r="C128" s="8">
        <f>D128+E128+F128</f>
      </c>
      <c r="D128" s="8">
        <f>SUMPRODUCT(($B$118:$B$123="Arabia Saudí")*($E$118:$E$123&gt;$F$118:$F$123)*($E$118:$E$123&lt;&gt;"")*($F$118:$F$123&lt;&gt;""))+SUMPRODUCT(($D$118:$D$123="Arabia Saudí")*($F$118:$F$123&gt;$E$118:$E$123)*($E$118:$E$123&lt;&gt;"")*($F$118:$F$123&lt;&gt;""))</f>
      </c>
      <c r="E128" s="8">
        <f>SUMPRODUCT((($B$118:$B$123="Arabia Saudí")+($D$118:$D$123="Arabia Saudí"))*($E$118:$E$123=$F$118:$F$123)*($E$118:$E$123&lt;&gt;"")*($F$118:$F$123&lt;&gt;""))</f>
      </c>
      <c r="F128" s="8">
        <f>SUMPRODUCT(($B$118:$B$123="Arabia Saudí")*($E$118:$E$123&lt;$F$118:$F$123)*($E$118:$E$123&lt;&gt;"")*($F$118:$F$123&lt;&gt;""))+SUMPRODUCT(($D$118:$D$123="Arabia Saudí")*($F$118:$F$123&lt;$E$118:$E$123)*($E$118:$E$123&lt;&gt;"")*($F$118:$F$123&lt;&gt;""))</f>
      </c>
      <c r="G128" s="8">
        <f>SUMPRODUCT(($B$118:$B$123="Arabia Saudí")*$E$118:$E$123*($E$118:$E$123&lt;&gt;"")*($F$118:$F$123&lt;&gt;""))+SUMPRODUCT(($D$118:$D$123="Arabia Saudí")*$F$118:$F$123*($E$118:$E$123&lt;&gt;"")*($F$118:$F$123&lt;&gt;""))</f>
      </c>
      <c r="H128" s="8">
        <f>SUMPRODUCT(($B$118:$B$123="Arabia Saudí")*$F$118:$F$123*($E$118:$E$123&lt;&gt;"")*($F$118:$F$123&lt;&gt;""))+SUMPRODUCT(($D$118:$D$123="Arabia Saudí")*$E$118:$E$123*($E$118:$E$123&lt;&gt;"")*($F$118:$F$123&lt;&gt;""))</f>
      </c>
      <c r="I128" s="8">
        <f>G128-H128</f>
      </c>
      <c r="J128" s="13">
        <f>D128*3+E128</f>
      </c>
    </row>
    <row r="129" spans="1:10" x14ac:dyDescent="0.25">
      <c r="A129" s="13">
        <f>SUMPRODUCT((J126:J129&gt;J129)*1)+SUMPRODUCT((J126:J129=J129)*(I126:I129&gt;I129))+SUMPRODUCT((J126:J129=J129)*(I126:I129=I129)*(G126:G129&gt;G129))+1</f>
      </c>
      <c r="B129" s="14" t="s">
        <v>102</v>
      </c>
      <c r="C129" s="8">
        <f>D129+E129+F129</f>
      </c>
      <c r="D129" s="8">
        <f>SUMPRODUCT(($B$118:$B$123="Uruguay")*($E$118:$E$123&gt;$F$118:$F$123)*($E$118:$E$123&lt;&gt;"")*($F$118:$F$123&lt;&gt;""))+SUMPRODUCT(($D$118:$D$123="Uruguay")*($F$118:$F$123&gt;$E$118:$E$123)*($E$118:$E$123&lt;&gt;"")*($F$118:$F$123&lt;&gt;""))</f>
      </c>
      <c r="E129" s="8">
        <f>SUMPRODUCT((($B$118:$B$123="Uruguay")+($D$118:$D$123="Uruguay"))*($E$118:$E$123=$F$118:$F$123)*($E$118:$E$123&lt;&gt;"")*($F$118:$F$123&lt;&gt;""))</f>
      </c>
      <c r="F129" s="8">
        <f>SUMPRODUCT(($B$118:$B$123="Uruguay")*($E$118:$E$123&lt;$F$118:$F$123)*($E$118:$E$123&lt;&gt;"")*($F$118:$F$123&lt;&gt;""))+SUMPRODUCT(($D$118:$D$123="Uruguay")*($F$118:$F$123&lt;$E$118:$E$123)*($E$118:$E$123&lt;&gt;"")*($F$118:$F$123&lt;&gt;""))</f>
      </c>
      <c r="G129" s="8">
        <f>SUMPRODUCT(($B$118:$B$123="Uruguay")*$E$118:$E$123*($E$118:$E$123&lt;&gt;"")*($F$118:$F$123&lt;&gt;""))+SUMPRODUCT(($D$118:$D$123="Uruguay")*$F$118:$F$123*($E$118:$E$123&lt;&gt;"")*($F$118:$F$123&lt;&gt;""))</f>
      </c>
      <c r="H129" s="8">
        <f>SUMPRODUCT(($B$118:$B$123="Uruguay")*$F$118:$F$123*($E$118:$E$123&lt;&gt;"")*($F$118:$F$123&lt;&gt;""))+SUMPRODUCT(($D$118:$D$123="Uruguay")*$E$118:$E$123*($E$118:$E$123&lt;&gt;"")*($F$118:$F$123&lt;&gt;""))</f>
      </c>
      <c r="I129" s="8">
        <f>G129-H129</f>
      </c>
      <c r="J129" s="13">
        <f>D129*3+E129</f>
      </c>
    </row>
    <row r="132" spans="1:10" x14ac:dyDescent="0.25">
      <c r="A132" s="11" t="s">
        <v>103</v>
      </c>
      <c r="B132" s="11"/>
      <c r="C132" s="11"/>
      <c r="D132" s="11"/>
      <c r="E132" s="11"/>
      <c r="F132" s="11"/>
      <c r="G132" s="11"/>
      <c r="H132" s="11"/>
      <c r="I132" s="11"/>
      <c r="J132" s="11"/>
    </row>
    <row r="133" spans="1:6" x14ac:dyDescent="0.25">
      <c r="A133" s="3" t="s">
        <v>48</v>
      </c>
      <c r="B133" s="3" t="s">
        <v>49</v>
      </c>
      <c r="C133" s="3" t="s">
        <v>50</v>
      </c>
      <c r="D133" s="3" t="s">
        <v>51</v>
      </c>
      <c r="E133" s="3" t="s">
        <v>52</v>
      </c>
      <c r="F133" s="3" t="s">
        <v>53</v>
      </c>
    </row>
    <row r="134" spans="1:6" x14ac:dyDescent="0.25">
      <c r="A134" s="12">
        <v>1</v>
      </c>
      <c r="B134" t="s">
        <v>104</v>
      </c>
      <c r="C134" s="12" t="s">
        <v>50</v>
      </c>
      <c r="D134" t="s">
        <v>105</v>
      </c>
      <c r="E134" s="7"/>
      <c r="F134" s="7"/>
    </row>
    <row r="135" spans="1:6" x14ac:dyDescent="0.25">
      <c r="A135" s="12">
        <v>2</v>
      </c>
      <c r="B135" t="s">
        <v>104</v>
      </c>
      <c r="C135" s="12" t="s">
        <v>50</v>
      </c>
      <c r="D135" t="s">
        <v>106</v>
      </c>
      <c r="E135" s="7"/>
      <c r="F135" s="7"/>
    </row>
    <row r="136" spans="1:6" x14ac:dyDescent="0.25">
      <c r="A136" s="12">
        <v>3</v>
      </c>
      <c r="B136" t="s">
        <v>104</v>
      </c>
      <c r="C136" s="12" t="s">
        <v>50</v>
      </c>
      <c r="D136" t="s">
        <v>107</v>
      </c>
      <c r="E136" s="7"/>
      <c r="F136" s="7"/>
    </row>
    <row r="137" spans="1:6" x14ac:dyDescent="0.25">
      <c r="A137" s="12">
        <v>4</v>
      </c>
      <c r="B137" t="s">
        <v>105</v>
      </c>
      <c r="C137" s="12" t="s">
        <v>50</v>
      </c>
      <c r="D137" t="s">
        <v>106</v>
      </c>
      <c r="E137" s="7"/>
      <c r="F137" s="7"/>
    </row>
    <row r="138" spans="1:6" x14ac:dyDescent="0.25">
      <c r="A138" s="12">
        <v>5</v>
      </c>
      <c r="B138" t="s">
        <v>105</v>
      </c>
      <c r="C138" s="12" t="s">
        <v>50</v>
      </c>
      <c r="D138" t="s">
        <v>107</v>
      </c>
      <c r="E138" s="7"/>
      <c r="F138" s="7"/>
    </row>
    <row r="139" spans="1:6" x14ac:dyDescent="0.25">
      <c r="A139" s="12">
        <v>6</v>
      </c>
      <c r="B139" t="s">
        <v>106</v>
      </c>
      <c r="C139" s="12" t="s">
        <v>50</v>
      </c>
      <c r="D139" t="s">
        <v>107</v>
      </c>
      <c r="E139" s="7"/>
      <c r="F139" s="7"/>
    </row>
    <row r="141" spans="1:10" x14ac:dyDescent="0.25">
      <c r="A141" s="3" t="s">
        <v>58</v>
      </c>
      <c r="B141" s="3" t="s">
        <v>59</v>
      </c>
      <c r="C141" s="3" t="s">
        <v>60</v>
      </c>
      <c r="D141" s="3" t="s">
        <v>61</v>
      </c>
      <c r="E141" s="3" t="s">
        <v>62</v>
      </c>
      <c r="F141" s="3" t="s">
        <v>63</v>
      </c>
      <c r="G141" s="3" t="s">
        <v>64</v>
      </c>
      <c r="H141" s="3" t="s">
        <v>65</v>
      </c>
      <c r="I141" s="3" t="s">
        <v>66</v>
      </c>
      <c r="J141" s="3" t="s">
        <v>67</v>
      </c>
    </row>
    <row r="142" spans="1:10" x14ac:dyDescent="0.25">
      <c r="A142" s="13">
        <f>SUMPRODUCT((J142:J145&gt;J142)*1)+SUMPRODUCT((J142:J145=J142)*(I142:I145&gt;I142))+SUMPRODUCT((J142:J145=J142)*(I142:I145=I142)*(G142:G145&gt;G142))+1</f>
      </c>
      <c r="B142" s="14" t="s">
        <v>104</v>
      </c>
      <c r="C142" s="8">
        <f>D142+E142+F142</f>
      </c>
      <c r="D142" s="8">
        <f>SUMPRODUCT(($B$134:$B$139="Francia")*($E$134:$E$139&gt;$F$134:$F$139)*($E$134:$E$139&lt;&gt;"")*($F$134:$F$139&lt;&gt;""))+SUMPRODUCT(($D$134:$D$139="Francia")*($F$134:$F$139&gt;$E$134:$E$139)*($E$134:$E$139&lt;&gt;"")*($F$134:$F$139&lt;&gt;""))</f>
      </c>
      <c r="E142" s="8">
        <f>SUMPRODUCT((($B$134:$B$139="Francia")+($D$134:$D$139="Francia"))*($E$134:$E$139=$F$134:$F$139)*($E$134:$E$139&lt;&gt;"")*($F$134:$F$139&lt;&gt;""))</f>
      </c>
      <c r="F142" s="8">
        <f>SUMPRODUCT(($B$134:$B$139="Francia")*($E$134:$E$139&lt;$F$134:$F$139)*($E$134:$E$139&lt;&gt;"")*($F$134:$F$139&lt;&gt;""))+SUMPRODUCT(($D$134:$D$139="Francia")*($F$134:$F$139&lt;$E$134:$E$139)*($E$134:$E$139&lt;&gt;"")*($F$134:$F$139&lt;&gt;""))</f>
      </c>
      <c r="G142" s="8">
        <f>SUMPRODUCT(($B$134:$B$139="Francia")*$E$134:$E$139*($E$134:$E$139&lt;&gt;"")*($F$134:$F$139&lt;&gt;""))+SUMPRODUCT(($D$134:$D$139="Francia")*$F$134:$F$139*($E$134:$E$139&lt;&gt;"")*($F$134:$F$139&lt;&gt;""))</f>
      </c>
      <c r="H142" s="8">
        <f>SUMPRODUCT(($B$134:$B$139="Francia")*$F$134:$F$139*($E$134:$E$139&lt;&gt;"")*($F$134:$F$139&lt;&gt;""))+SUMPRODUCT(($D$134:$D$139="Francia")*$E$134:$E$139*($E$134:$E$139&lt;&gt;"")*($F$134:$F$139&lt;&gt;""))</f>
      </c>
      <c r="I142" s="8">
        <f>G142-H142</f>
      </c>
      <c r="J142" s="13">
        <f>D142*3+E142</f>
      </c>
    </row>
    <row r="143" spans="1:10" x14ac:dyDescent="0.25">
      <c r="A143" s="13">
        <f>SUMPRODUCT((J142:J145&gt;J143)*1)+SUMPRODUCT((J142:J145=J143)*(I142:I145&gt;I143))+SUMPRODUCT((J142:J145=J143)*(I142:I145=I143)*(G142:G145&gt;G143))+1</f>
      </c>
      <c r="B143" s="14" t="s">
        <v>105</v>
      </c>
      <c r="C143" s="8">
        <f>D143+E143+F143</f>
      </c>
      <c r="D143" s="8">
        <f>SUMPRODUCT(($B$134:$B$139="Senegal")*($E$134:$E$139&gt;$F$134:$F$139)*($E$134:$E$139&lt;&gt;"")*($F$134:$F$139&lt;&gt;""))+SUMPRODUCT(($D$134:$D$139="Senegal")*($F$134:$F$139&gt;$E$134:$E$139)*($E$134:$E$139&lt;&gt;"")*($F$134:$F$139&lt;&gt;""))</f>
      </c>
      <c r="E143" s="8">
        <f>SUMPRODUCT((($B$134:$B$139="Senegal")+($D$134:$D$139="Senegal"))*($E$134:$E$139=$F$134:$F$139)*($E$134:$E$139&lt;&gt;"")*($F$134:$F$139&lt;&gt;""))</f>
      </c>
      <c r="F143" s="8">
        <f>SUMPRODUCT(($B$134:$B$139="Senegal")*($E$134:$E$139&lt;$F$134:$F$139)*($E$134:$E$139&lt;&gt;"")*($F$134:$F$139&lt;&gt;""))+SUMPRODUCT(($D$134:$D$139="Senegal")*($F$134:$F$139&lt;$E$134:$E$139)*($E$134:$E$139&lt;&gt;"")*($F$134:$F$139&lt;&gt;""))</f>
      </c>
      <c r="G143" s="8">
        <f>SUMPRODUCT(($B$134:$B$139="Senegal")*$E$134:$E$139*($E$134:$E$139&lt;&gt;"")*($F$134:$F$139&lt;&gt;""))+SUMPRODUCT(($D$134:$D$139="Senegal")*$F$134:$F$139*($E$134:$E$139&lt;&gt;"")*($F$134:$F$139&lt;&gt;""))</f>
      </c>
      <c r="H143" s="8">
        <f>SUMPRODUCT(($B$134:$B$139="Senegal")*$F$134:$F$139*($E$134:$E$139&lt;&gt;"")*($F$134:$F$139&lt;&gt;""))+SUMPRODUCT(($D$134:$D$139="Senegal")*$E$134:$E$139*($E$134:$E$139&lt;&gt;"")*($F$134:$F$139&lt;&gt;""))</f>
      </c>
      <c r="I143" s="8">
        <f>G143-H143</f>
      </c>
      <c r="J143" s="13">
        <f>D143*3+E143</f>
      </c>
    </row>
    <row r="144" spans="1:10" x14ac:dyDescent="0.25">
      <c r="A144" s="13">
        <f>SUMPRODUCT((J142:J145&gt;J144)*1)+SUMPRODUCT((J142:J145=J144)*(I142:I145&gt;I144))+SUMPRODUCT((J142:J145=J144)*(I142:I145=I144)*(G142:G145&gt;G144))+1</f>
      </c>
      <c r="B144" s="14" t="s">
        <v>106</v>
      </c>
      <c r="C144" s="8">
        <f>D144+E144+F144</f>
      </c>
      <c r="D144" s="8">
        <f>SUMPRODUCT(($B$134:$B$139="Iraq")*($E$134:$E$139&gt;$F$134:$F$139)*($E$134:$E$139&lt;&gt;"")*($F$134:$F$139&lt;&gt;""))+SUMPRODUCT(($D$134:$D$139="Iraq")*($F$134:$F$139&gt;$E$134:$E$139)*($E$134:$E$139&lt;&gt;"")*($F$134:$F$139&lt;&gt;""))</f>
      </c>
      <c r="E144" s="8">
        <f>SUMPRODUCT((($B$134:$B$139="Iraq")+($D$134:$D$139="Iraq"))*($E$134:$E$139=$F$134:$F$139)*($E$134:$E$139&lt;&gt;"")*($F$134:$F$139&lt;&gt;""))</f>
      </c>
      <c r="F144" s="8">
        <f>SUMPRODUCT(($B$134:$B$139="Iraq")*($E$134:$E$139&lt;$F$134:$F$139)*($E$134:$E$139&lt;&gt;"")*($F$134:$F$139&lt;&gt;""))+SUMPRODUCT(($D$134:$D$139="Iraq")*($F$134:$F$139&lt;$E$134:$E$139)*($E$134:$E$139&lt;&gt;"")*($F$134:$F$139&lt;&gt;""))</f>
      </c>
      <c r="G144" s="8">
        <f>SUMPRODUCT(($B$134:$B$139="Iraq")*$E$134:$E$139*($E$134:$E$139&lt;&gt;"")*($F$134:$F$139&lt;&gt;""))+SUMPRODUCT(($D$134:$D$139="Iraq")*$F$134:$F$139*($E$134:$E$139&lt;&gt;"")*($F$134:$F$139&lt;&gt;""))</f>
      </c>
      <c r="H144" s="8">
        <f>SUMPRODUCT(($B$134:$B$139="Iraq")*$F$134:$F$139*($E$134:$E$139&lt;&gt;"")*($F$134:$F$139&lt;&gt;""))+SUMPRODUCT(($D$134:$D$139="Iraq")*$E$134:$E$139*($E$134:$E$139&lt;&gt;"")*($F$134:$F$139&lt;&gt;""))</f>
      </c>
      <c r="I144" s="8">
        <f>G144-H144</f>
      </c>
      <c r="J144" s="13">
        <f>D144*3+E144</f>
      </c>
    </row>
    <row r="145" spans="1:10" x14ac:dyDescent="0.25">
      <c r="A145" s="13">
        <f>SUMPRODUCT((J142:J145&gt;J145)*1)+SUMPRODUCT((J142:J145=J145)*(I142:I145&gt;I145))+SUMPRODUCT((J142:J145=J145)*(I142:I145=I145)*(G142:G145&gt;G145))+1</f>
      </c>
      <c r="B145" s="14" t="s">
        <v>107</v>
      </c>
      <c r="C145" s="8">
        <f>D145+E145+F145</f>
      </c>
      <c r="D145" s="8">
        <f>SUMPRODUCT(($B$134:$B$139="Noruega")*($E$134:$E$139&gt;$F$134:$F$139)*($E$134:$E$139&lt;&gt;"")*($F$134:$F$139&lt;&gt;""))+SUMPRODUCT(($D$134:$D$139="Noruega")*($F$134:$F$139&gt;$E$134:$E$139)*($E$134:$E$139&lt;&gt;"")*($F$134:$F$139&lt;&gt;""))</f>
      </c>
      <c r="E145" s="8">
        <f>SUMPRODUCT((($B$134:$B$139="Noruega")+($D$134:$D$139="Noruega"))*($E$134:$E$139=$F$134:$F$139)*($E$134:$E$139&lt;&gt;"")*($F$134:$F$139&lt;&gt;""))</f>
      </c>
      <c r="F145" s="8">
        <f>SUMPRODUCT(($B$134:$B$139="Noruega")*($E$134:$E$139&lt;$F$134:$F$139)*($E$134:$E$139&lt;&gt;"")*($F$134:$F$139&lt;&gt;""))+SUMPRODUCT(($D$134:$D$139="Noruega")*($F$134:$F$139&lt;$E$134:$E$139)*($E$134:$E$139&lt;&gt;"")*($F$134:$F$139&lt;&gt;""))</f>
      </c>
      <c r="G145" s="8">
        <f>SUMPRODUCT(($B$134:$B$139="Noruega")*$E$134:$E$139*($E$134:$E$139&lt;&gt;"")*($F$134:$F$139&lt;&gt;""))+SUMPRODUCT(($D$134:$D$139="Noruega")*$F$134:$F$139*($E$134:$E$139&lt;&gt;"")*($F$134:$F$139&lt;&gt;""))</f>
      </c>
      <c r="H145" s="8">
        <f>SUMPRODUCT(($B$134:$B$139="Noruega")*$F$134:$F$139*($E$134:$E$139&lt;&gt;"")*($F$134:$F$139&lt;&gt;""))+SUMPRODUCT(($D$134:$D$139="Noruega")*$E$134:$E$139*($E$134:$E$139&lt;&gt;"")*($F$134:$F$139&lt;&gt;""))</f>
      </c>
      <c r="I145" s="8">
        <f>G145-H145</f>
      </c>
      <c r="J145" s="13">
        <f>D145*3+E145</f>
      </c>
    </row>
    <row r="148" spans="1:10" x14ac:dyDescent="0.25">
      <c r="A148" s="11" t="s">
        <v>108</v>
      </c>
      <c r="B148" s="11"/>
      <c r="C148" s="11"/>
      <c r="D148" s="11"/>
      <c r="E148" s="11"/>
      <c r="F148" s="11"/>
      <c r="G148" s="11"/>
      <c r="H148" s="11"/>
      <c r="I148" s="11"/>
      <c r="J148" s="11"/>
    </row>
    <row r="149" spans="1:6" x14ac:dyDescent="0.25">
      <c r="A149" s="3" t="s">
        <v>48</v>
      </c>
      <c r="B149" s="3" t="s">
        <v>49</v>
      </c>
      <c r="C149" s="3" t="s">
        <v>50</v>
      </c>
      <c r="D149" s="3" t="s">
        <v>51</v>
      </c>
      <c r="E149" s="3" t="s">
        <v>52</v>
      </c>
      <c r="F149" s="3" t="s">
        <v>53</v>
      </c>
    </row>
    <row r="150" spans="1:6" x14ac:dyDescent="0.25">
      <c r="A150" s="12">
        <v>1</v>
      </c>
      <c r="B150" t="s">
        <v>109</v>
      </c>
      <c r="C150" s="12" t="s">
        <v>50</v>
      </c>
      <c r="D150" t="s">
        <v>110</v>
      </c>
      <c r="E150" s="7"/>
      <c r="F150" s="7"/>
    </row>
    <row r="151" spans="1:6" x14ac:dyDescent="0.25">
      <c r="A151" s="12">
        <v>2</v>
      </c>
      <c r="B151" t="s">
        <v>109</v>
      </c>
      <c r="C151" s="12" t="s">
        <v>50</v>
      </c>
      <c r="D151" t="s">
        <v>111</v>
      </c>
      <c r="E151" s="7"/>
      <c r="F151" s="7"/>
    </row>
    <row r="152" spans="1:6" x14ac:dyDescent="0.25">
      <c r="A152" s="12">
        <v>3</v>
      </c>
      <c r="B152" t="s">
        <v>109</v>
      </c>
      <c r="C152" s="12" t="s">
        <v>50</v>
      </c>
      <c r="D152" t="s">
        <v>112</v>
      </c>
      <c r="E152" s="7"/>
      <c r="F152" s="7"/>
    </row>
    <row r="153" spans="1:6" x14ac:dyDescent="0.25">
      <c r="A153" s="12">
        <v>4</v>
      </c>
      <c r="B153" t="s">
        <v>110</v>
      </c>
      <c r="C153" s="12" t="s">
        <v>50</v>
      </c>
      <c r="D153" t="s">
        <v>111</v>
      </c>
      <c r="E153" s="7"/>
      <c r="F153" s="7"/>
    </row>
    <row r="154" spans="1:6" x14ac:dyDescent="0.25">
      <c r="A154" s="12">
        <v>5</v>
      </c>
      <c r="B154" t="s">
        <v>110</v>
      </c>
      <c r="C154" s="12" t="s">
        <v>50</v>
      </c>
      <c r="D154" t="s">
        <v>112</v>
      </c>
      <c r="E154" s="7"/>
      <c r="F154" s="7"/>
    </row>
    <row r="155" spans="1:6" x14ac:dyDescent="0.25">
      <c r="A155" s="12">
        <v>6</v>
      </c>
      <c r="B155" t="s">
        <v>111</v>
      </c>
      <c r="C155" s="12" t="s">
        <v>50</v>
      </c>
      <c r="D155" t="s">
        <v>112</v>
      </c>
      <c r="E155" s="7"/>
      <c r="F155" s="7"/>
    </row>
    <row r="157" spans="1:10" x14ac:dyDescent="0.25">
      <c r="A157" s="3" t="s">
        <v>58</v>
      </c>
      <c r="B157" s="3" t="s">
        <v>59</v>
      </c>
      <c r="C157" s="3" t="s">
        <v>60</v>
      </c>
      <c r="D157" s="3" t="s">
        <v>61</v>
      </c>
      <c r="E157" s="3" t="s">
        <v>62</v>
      </c>
      <c r="F157" s="3" t="s">
        <v>63</v>
      </c>
      <c r="G157" s="3" t="s">
        <v>64</v>
      </c>
      <c r="H157" s="3" t="s">
        <v>65</v>
      </c>
      <c r="I157" s="3" t="s">
        <v>66</v>
      </c>
      <c r="J157" s="3" t="s">
        <v>67</v>
      </c>
    </row>
    <row r="158" spans="1:10" x14ac:dyDescent="0.25">
      <c r="A158" s="13">
        <f>SUMPRODUCT((J158:J161&gt;J158)*1)+SUMPRODUCT((J158:J161=J158)*(I158:I161&gt;I158))+SUMPRODUCT((J158:J161=J158)*(I158:I161=I158)*(G158:G161&gt;G158))+1</f>
      </c>
      <c r="B158" s="14" t="s">
        <v>109</v>
      </c>
      <c r="C158" s="8">
        <f>D158+E158+F158</f>
      </c>
      <c r="D158" s="8">
        <f>SUMPRODUCT(($B$150:$B$155="Argentina")*($E$150:$E$155&gt;$F$150:$F$155)*($E$150:$E$155&lt;&gt;"")*($F$150:$F$155&lt;&gt;""))+SUMPRODUCT(($D$150:$D$155="Argentina")*($F$150:$F$155&gt;$E$150:$E$155)*($E$150:$E$155&lt;&gt;"")*($F$150:$F$155&lt;&gt;""))</f>
      </c>
      <c r="E158" s="8">
        <f>SUMPRODUCT((($B$150:$B$155="Argentina")+($D$150:$D$155="Argentina"))*($E$150:$E$155=$F$150:$F$155)*($E$150:$E$155&lt;&gt;"")*($F$150:$F$155&lt;&gt;""))</f>
      </c>
      <c r="F158" s="8">
        <f>SUMPRODUCT(($B$150:$B$155="Argentina")*($E$150:$E$155&lt;$F$150:$F$155)*($E$150:$E$155&lt;&gt;"")*($F$150:$F$155&lt;&gt;""))+SUMPRODUCT(($D$150:$D$155="Argentina")*($F$150:$F$155&lt;$E$150:$E$155)*($E$150:$E$155&lt;&gt;"")*($F$150:$F$155&lt;&gt;""))</f>
      </c>
      <c r="G158" s="8">
        <f>SUMPRODUCT(($B$150:$B$155="Argentina")*$E$150:$E$155*($E$150:$E$155&lt;&gt;"")*($F$150:$F$155&lt;&gt;""))+SUMPRODUCT(($D$150:$D$155="Argentina")*$F$150:$F$155*($E$150:$E$155&lt;&gt;"")*($F$150:$F$155&lt;&gt;""))</f>
      </c>
      <c r="H158" s="8">
        <f>SUMPRODUCT(($B$150:$B$155="Argentina")*$F$150:$F$155*($E$150:$E$155&lt;&gt;"")*($F$150:$F$155&lt;&gt;""))+SUMPRODUCT(($D$150:$D$155="Argentina")*$E$150:$E$155*($E$150:$E$155&lt;&gt;"")*($F$150:$F$155&lt;&gt;""))</f>
      </c>
      <c r="I158" s="8">
        <f>G158-H158</f>
      </c>
      <c r="J158" s="13">
        <f>D158*3+E158</f>
      </c>
    </row>
    <row r="159" spans="1:10" x14ac:dyDescent="0.25">
      <c r="A159" s="13">
        <f>SUMPRODUCT((J158:J161&gt;J159)*1)+SUMPRODUCT((J158:J161=J159)*(I158:I161&gt;I159))+SUMPRODUCT((J158:J161=J159)*(I158:I161=I159)*(G158:G161&gt;G159))+1</f>
      </c>
      <c r="B159" s="14" t="s">
        <v>110</v>
      </c>
      <c r="C159" s="8">
        <f>D159+E159+F159</f>
      </c>
      <c r="D159" s="8">
        <f>SUMPRODUCT(($B$150:$B$155="Argelia")*($E$150:$E$155&gt;$F$150:$F$155)*($E$150:$E$155&lt;&gt;"")*($F$150:$F$155&lt;&gt;""))+SUMPRODUCT(($D$150:$D$155="Argelia")*($F$150:$F$155&gt;$E$150:$E$155)*($E$150:$E$155&lt;&gt;"")*($F$150:$F$155&lt;&gt;""))</f>
      </c>
      <c r="E159" s="8">
        <f>SUMPRODUCT((($B$150:$B$155="Argelia")+($D$150:$D$155="Argelia"))*($E$150:$E$155=$F$150:$F$155)*($E$150:$E$155&lt;&gt;"")*($F$150:$F$155&lt;&gt;""))</f>
      </c>
      <c r="F159" s="8">
        <f>SUMPRODUCT(($B$150:$B$155="Argelia")*($E$150:$E$155&lt;$F$150:$F$155)*($E$150:$E$155&lt;&gt;"")*($F$150:$F$155&lt;&gt;""))+SUMPRODUCT(($D$150:$D$155="Argelia")*($F$150:$F$155&lt;$E$150:$E$155)*($E$150:$E$155&lt;&gt;"")*($F$150:$F$155&lt;&gt;""))</f>
      </c>
      <c r="G159" s="8">
        <f>SUMPRODUCT(($B$150:$B$155="Argelia")*$E$150:$E$155*($E$150:$E$155&lt;&gt;"")*($F$150:$F$155&lt;&gt;""))+SUMPRODUCT(($D$150:$D$155="Argelia")*$F$150:$F$155*($E$150:$E$155&lt;&gt;"")*($F$150:$F$155&lt;&gt;""))</f>
      </c>
      <c r="H159" s="8">
        <f>SUMPRODUCT(($B$150:$B$155="Argelia")*$F$150:$F$155*($E$150:$E$155&lt;&gt;"")*($F$150:$F$155&lt;&gt;""))+SUMPRODUCT(($D$150:$D$155="Argelia")*$E$150:$E$155*($E$150:$E$155&lt;&gt;"")*($F$150:$F$155&lt;&gt;""))</f>
      </c>
      <c r="I159" s="8">
        <f>G159-H159</f>
      </c>
      <c r="J159" s="13">
        <f>D159*3+E159</f>
      </c>
    </row>
    <row r="160" spans="1:10" x14ac:dyDescent="0.25">
      <c r="A160" s="13">
        <f>SUMPRODUCT((J158:J161&gt;J160)*1)+SUMPRODUCT((J158:J161=J160)*(I158:I161&gt;I160))+SUMPRODUCT((J158:J161=J160)*(I158:I161=I160)*(G158:G161&gt;G160))+1</f>
      </c>
      <c r="B160" s="14" t="s">
        <v>111</v>
      </c>
      <c r="C160" s="8">
        <f>D160+E160+F160</f>
      </c>
      <c r="D160" s="8">
        <f>SUMPRODUCT(($B$150:$B$155="Austria")*($E$150:$E$155&gt;$F$150:$F$155)*($E$150:$E$155&lt;&gt;"")*($F$150:$F$155&lt;&gt;""))+SUMPRODUCT(($D$150:$D$155="Austria")*($F$150:$F$155&gt;$E$150:$E$155)*($E$150:$E$155&lt;&gt;"")*($F$150:$F$155&lt;&gt;""))</f>
      </c>
      <c r="E160" s="8">
        <f>SUMPRODUCT((($B$150:$B$155="Austria")+($D$150:$D$155="Austria"))*($E$150:$E$155=$F$150:$F$155)*($E$150:$E$155&lt;&gt;"")*($F$150:$F$155&lt;&gt;""))</f>
      </c>
      <c r="F160" s="8">
        <f>SUMPRODUCT(($B$150:$B$155="Austria")*($E$150:$E$155&lt;$F$150:$F$155)*($E$150:$E$155&lt;&gt;"")*($F$150:$F$155&lt;&gt;""))+SUMPRODUCT(($D$150:$D$155="Austria")*($F$150:$F$155&lt;$E$150:$E$155)*($E$150:$E$155&lt;&gt;"")*($F$150:$F$155&lt;&gt;""))</f>
      </c>
      <c r="G160" s="8">
        <f>SUMPRODUCT(($B$150:$B$155="Austria")*$E$150:$E$155*($E$150:$E$155&lt;&gt;"")*($F$150:$F$155&lt;&gt;""))+SUMPRODUCT(($D$150:$D$155="Austria")*$F$150:$F$155*($E$150:$E$155&lt;&gt;"")*($F$150:$F$155&lt;&gt;""))</f>
      </c>
      <c r="H160" s="8">
        <f>SUMPRODUCT(($B$150:$B$155="Austria")*$F$150:$F$155*($E$150:$E$155&lt;&gt;"")*($F$150:$F$155&lt;&gt;""))+SUMPRODUCT(($D$150:$D$155="Austria")*$E$150:$E$155*($E$150:$E$155&lt;&gt;"")*($F$150:$F$155&lt;&gt;""))</f>
      </c>
      <c r="I160" s="8">
        <f>G160-H160</f>
      </c>
      <c r="J160" s="13">
        <f>D160*3+E160</f>
      </c>
    </row>
    <row r="161" spans="1:10" x14ac:dyDescent="0.25">
      <c r="A161" s="13">
        <f>SUMPRODUCT((J158:J161&gt;J161)*1)+SUMPRODUCT((J158:J161=J161)*(I158:I161&gt;I161))+SUMPRODUCT((J158:J161=J161)*(I158:I161=I161)*(G158:G161&gt;G161))+1</f>
      </c>
      <c r="B161" s="14" t="s">
        <v>112</v>
      </c>
      <c r="C161" s="8">
        <f>D161+E161+F161</f>
      </c>
      <c r="D161" s="8">
        <f>SUMPRODUCT(($B$150:$B$155="Jordania")*($E$150:$E$155&gt;$F$150:$F$155)*($E$150:$E$155&lt;&gt;"")*($F$150:$F$155&lt;&gt;""))+SUMPRODUCT(($D$150:$D$155="Jordania")*($F$150:$F$155&gt;$E$150:$E$155)*($E$150:$E$155&lt;&gt;"")*($F$150:$F$155&lt;&gt;""))</f>
      </c>
      <c r="E161" s="8">
        <f>SUMPRODUCT((($B$150:$B$155="Jordania")+($D$150:$D$155="Jordania"))*($E$150:$E$155=$F$150:$F$155)*($E$150:$E$155&lt;&gt;"")*($F$150:$F$155&lt;&gt;""))</f>
      </c>
      <c r="F161" s="8">
        <f>SUMPRODUCT(($B$150:$B$155="Jordania")*($E$150:$E$155&lt;$F$150:$F$155)*($E$150:$E$155&lt;&gt;"")*($F$150:$F$155&lt;&gt;""))+SUMPRODUCT(($D$150:$D$155="Jordania")*($F$150:$F$155&lt;$E$150:$E$155)*($E$150:$E$155&lt;&gt;"")*($F$150:$F$155&lt;&gt;""))</f>
      </c>
      <c r="G161" s="8">
        <f>SUMPRODUCT(($B$150:$B$155="Jordania")*$E$150:$E$155*($E$150:$E$155&lt;&gt;"")*($F$150:$F$155&lt;&gt;""))+SUMPRODUCT(($D$150:$D$155="Jordania")*$F$150:$F$155*($E$150:$E$155&lt;&gt;"")*($F$150:$F$155&lt;&gt;""))</f>
      </c>
      <c r="H161" s="8">
        <f>SUMPRODUCT(($B$150:$B$155="Jordania")*$F$150:$F$155*($E$150:$E$155&lt;&gt;"")*($F$150:$F$155&lt;&gt;""))+SUMPRODUCT(($D$150:$D$155="Jordania")*$E$150:$E$155*($E$150:$E$155&lt;&gt;"")*($F$150:$F$155&lt;&gt;""))</f>
      </c>
      <c r="I161" s="8">
        <f>G161-H161</f>
      </c>
      <c r="J161" s="13">
        <f>D161*3+E161</f>
      </c>
    </row>
    <row r="164" spans="1:10" x14ac:dyDescent="0.25">
      <c r="A164" s="11" t="s">
        <v>113</v>
      </c>
      <c r="B164" s="11"/>
      <c r="C164" s="11"/>
      <c r="D164" s="11"/>
      <c r="E164" s="11"/>
      <c r="F164" s="11"/>
      <c r="G164" s="11"/>
      <c r="H164" s="11"/>
      <c r="I164" s="11"/>
      <c r="J164" s="11"/>
    </row>
    <row r="165" spans="1:6" x14ac:dyDescent="0.25">
      <c r="A165" s="3" t="s">
        <v>48</v>
      </c>
      <c r="B165" s="3" t="s">
        <v>49</v>
      </c>
      <c r="C165" s="3" t="s">
        <v>50</v>
      </c>
      <c r="D165" s="3" t="s">
        <v>51</v>
      </c>
      <c r="E165" s="3" t="s">
        <v>52</v>
      </c>
      <c r="F165" s="3" t="s">
        <v>53</v>
      </c>
    </row>
    <row r="166" spans="1:6" x14ac:dyDescent="0.25">
      <c r="A166" s="12">
        <v>1</v>
      </c>
      <c r="B166" t="s">
        <v>114</v>
      </c>
      <c r="C166" s="12" t="s">
        <v>50</v>
      </c>
      <c r="D166" t="s">
        <v>115</v>
      </c>
      <c r="E166" s="7"/>
      <c r="F166" s="7"/>
    </row>
    <row r="167" spans="1:6" x14ac:dyDescent="0.25">
      <c r="A167" s="12">
        <v>2</v>
      </c>
      <c r="B167" t="s">
        <v>114</v>
      </c>
      <c r="C167" s="12" t="s">
        <v>50</v>
      </c>
      <c r="D167" t="s">
        <v>116</v>
      </c>
      <c r="E167" s="7"/>
      <c r="F167" s="7"/>
    </row>
    <row r="168" spans="1:6" x14ac:dyDescent="0.25">
      <c r="A168" s="12">
        <v>3</v>
      </c>
      <c r="B168" t="s">
        <v>114</v>
      </c>
      <c r="C168" s="12" t="s">
        <v>50</v>
      </c>
      <c r="D168" t="s">
        <v>117</v>
      </c>
      <c r="E168" s="7"/>
      <c r="F168" s="7"/>
    </row>
    <row r="169" spans="1:6" x14ac:dyDescent="0.25">
      <c r="A169" s="12">
        <v>4</v>
      </c>
      <c r="B169" t="s">
        <v>115</v>
      </c>
      <c r="C169" s="12" t="s">
        <v>50</v>
      </c>
      <c r="D169" t="s">
        <v>116</v>
      </c>
      <c r="E169" s="7"/>
      <c r="F169" s="7"/>
    </row>
    <row r="170" spans="1:6" x14ac:dyDescent="0.25">
      <c r="A170" s="12">
        <v>5</v>
      </c>
      <c r="B170" t="s">
        <v>115</v>
      </c>
      <c r="C170" s="12" t="s">
        <v>50</v>
      </c>
      <c r="D170" t="s">
        <v>117</v>
      </c>
      <c r="E170" s="7"/>
      <c r="F170" s="7"/>
    </row>
    <row r="171" spans="1:6" x14ac:dyDescent="0.25">
      <c r="A171" s="12">
        <v>6</v>
      </c>
      <c r="B171" t="s">
        <v>116</v>
      </c>
      <c r="C171" s="12" t="s">
        <v>50</v>
      </c>
      <c r="D171" t="s">
        <v>117</v>
      </c>
      <c r="E171" s="7"/>
      <c r="F171" s="7"/>
    </row>
    <row r="173" spans="1:10" x14ac:dyDescent="0.25">
      <c r="A173" s="3" t="s">
        <v>58</v>
      </c>
      <c r="B173" s="3" t="s">
        <v>59</v>
      </c>
      <c r="C173" s="3" t="s">
        <v>60</v>
      </c>
      <c r="D173" s="3" t="s">
        <v>61</v>
      </c>
      <c r="E173" s="3" t="s">
        <v>62</v>
      </c>
      <c r="F173" s="3" t="s">
        <v>63</v>
      </c>
      <c r="G173" s="3" t="s">
        <v>64</v>
      </c>
      <c r="H173" s="3" t="s">
        <v>65</v>
      </c>
      <c r="I173" s="3" t="s">
        <v>66</v>
      </c>
      <c r="J173" s="3" t="s">
        <v>67</v>
      </c>
    </row>
    <row r="174" spans="1:10" x14ac:dyDescent="0.25">
      <c r="A174" s="13">
        <f>SUMPRODUCT((J174:J177&gt;J174)*1)+SUMPRODUCT((J174:J177=J174)*(I174:I177&gt;I174))+SUMPRODUCT((J174:J177=J174)*(I174:I177=I174)*(G174:G177&gt;G174))+1</f>
      </c>
      <c r="B174" s="14" t="s">
        <v>114</v>
      </c>
      <c r="C174" s="8">
        <f>D174+E174+F174</f>
      </c>
      <c r="D174" s="8">
        <f>SUMPRODUCT(($B$166:$B$171="Portugal")*($E$166:$E$171&gt;$F$166:$F$171)*($E$166:$E$171&lt;&gt;"")*($F$166:$F$171&lt;&gt;""))+SUMPRODUCT(($D$166:$D$171="Portugal")*($F$166:$F$171&gt;$E$166:$E$171)*($E$166:$E$171&lt;&gt;"")*($F$166:$F$171&lt;&gt;""))</f>
      </c>
      <c r="E174" s="8">
        <f>SUMPRODUCT((($B$166:$B$171="Portugal")+($D$166:$D$171="Portugal"))*($E$166:$E$171=$F$166:$F$171)*($E$166:$E$171&lt;&gt;"")*($F$166:$F$171&lt;&gt;""))</f>
      </c>
      <c r="F174" s="8">
        <f>SUMPRODUCT(($B$166:$B$171="Portugal")*($E$166:$E$171&lt;$F$166:$F$171)*($E$166:$E$171&lt;&gt;"")*($F$166:$F$171&lt;&gt;""))+SUMPRODUCT(($D$166:$D$171="Portugal")*($F$166:$F$171&lt;$E$166:$E$171)*($E$166:$E$171&lt;&gt;"")*($F$166:$F$171&lt;&gt;""))</f>
      </c>
      <c r="G174" s="8">
        <f>SUMPRODUCT(($B$166:$B$171="Portugal")*$E$166:$E$171*($E$166:$E$171&lt;&gt;"")*($F$166:$F$171&lt;&gt;""))+SUMPRODUCT(($D$166:$D$171="Portugal")*$F$166:$F$171*($E$166:$E$171&lt;&gt;"")*($F$166:$F$171&lt;&gt;""))</f>
      </c>
      <c r="H174" s="8">
        <f>SUMPRODUCT(($B$166:$B$171="Portugal")*$F$166:$F$171*($E$166:$E$171&lt;&gt;"")*($F$166:$F$171&lt;&gt;""))+SUMPRODUCT(($D$166:$D$171="Portugal")*$E$166:$E$171*($E$166:$E$171&lt;&gt;"")*($F$166:$F$171&lt;&gt;""))</f>
      </c>
      <c r="I174" s="8">
        <f>G174-H174</f>
      </c>
      <c r="J174" s="13">
        <f>D174*3+E174</f>
      </c>
    </row>
    <row r="175" spans="1:10" x14ac:dyDescent="0.25">
      <c r="A175" s="13">
        <f>SUMPRODUCT((J174:J177&gt;J175)*1)+SUMPRODUCT((J174:J177=J175)*(I174:I177&gt;I175))+SUMPRODUCT((J174:J177=J175)*(I174:I177=I175)*(G174:G177&gt;G175))+1</f>
      </c>
      <c r="B175" s="14" t="s">
        <v>115</v>
      </c>
      <c r="C175" s="8">
        <f>D175+E175+F175</f>
      </c>
      <c r="D175" s="8">
        <f>SUMPRODUCT(($B$166:$B$171="RD del Congo")*($E$166:$E$171&gt;$F$166:$F$171)*($E$166:$E$171&lt;&gt;"")*($F$166:$F$171&lt;&gt;""))+SUMPRODUCT(($D$166:$D$171="RD del Congo")*($F$166:$F$171&gt;$E$166:$E$171)*($E$166:$E$171&lt;&gt;"")*($F$166:$F$171&lt;&gt;""))</f>
      </c>
      <c r="E175" s="8">
        <f>SUMPRODUCT((($B$166:$B$171="RD del Congo")+($D$166:$D$171="RD del Congo"))*($E$166:$E$171=$F$166:$F$171)*($E$166:$E$171&lt;&gt;"")*($F$166:$F$171&lt;&gt;""))</f>
      </c>
      <c r="F175" s="8">
        <f>SUMPRODUCT(($B$166:$B$171="RD del Congo")*($E$166:$E$171&lt;$F$166:$F$171)*($E$166:$E$171&lt;&gt;"")*($F$166:$F$171&lt;&gt;""))+SUMPRODUCT(($D$166:$D$171="RD del Congo")*($F$166:$F$171&lt;$E$166:$E$171)*($E$166:$E$171&lt;&gt;"")*($F$166:$F$171&lt;&gt;""))</f>
      </c>
      <c r="G175" s="8">
        <f>SUMPRODUCT(($B$166:$B$171="RD del Congo")*$E$166:$E$171*($E$166:$E$171&lt;&gt;"")*($F$166:$F$171&lt;&gt;""))+SUMPRODUCT(($D$166:$D$171="RD del Congo")*$F$166:$F$171*($E$166:$E$171&lt;&gt;"")*($F$166:$F$171&lt;&gt;""))</f>
      </c>
      <c r="H175" s="8">
        <f>SUMPRODUCT(($B$166:$B$171="RD del Congo")*$F$166:$F$171*($E$166:$E$171&lt;&gt;"")*($F$166:$F$171&lt;&gt;""))+SUMPRODUCT(($D$166:$D$171="RD del Congo")*$E$166:$E$171*($E$166:$E$171&lt;&gt;"")*($F$166:$F$171&lt;&gt;""))</f>
      </c>
      <c r="I175" s="8">
        <f>G175-H175</f>
      </c>
      <c r="J175" s="13">
        <f>D175*3+E175</f>
      </c>
    </row>
    <row r="176" spans="1:10" x14ac:dyDescent="0.25">
      <c r="A176" s="13">
        <f>SUMPRODUCT((J174:J177&gt;J176)*1)+SUMPRODUCT((J174:J177=J176)*(I174:I177&gt;I176))+SUMPRODUCT((J174:J177=J176)*(I174:I177=I176)*(G174:G177&gt;G176))+1</f>
      </c>
      <c r="B176" s="14" t="s">
        <v>116</v>
      </c>
      <c r="C176" s="8">
        <f>D176+E176+F176</f>
      </c>
      <c r="D176" s="8">
        <f>SUMPRODUCT(($B$166:$B$171="Uzbekistán")*($E$166:$E$171&gt;$F$166:$F$171)*($E$166:$E$171&lt;&gt;"")*($F$166:$F$171&lt;&gt;""))+SUMPRODUCT(($D$166:$D$171="Uzbekistán")*($F$166:$F$171&gt;$E$166:$E$171)*($E$166:$E$171&lt;&gt;"")*($F$166:$F$171&lt;&gt;""))</f>
      </c>
      <c r="E176" s="8">
        <f>SUMPRODUCT((($B$166:$B$171="Uzbekistán")+($D$166:$D$171="Uzbekistán"))*($E$166:$E$171=$F$166:$F$171)*($E$166:$E$171&lt;&gt;"")*($F$166:$F$171&lt;&gt;""))</f>
      </c>
      <c r="F176" s="8">
        <f>SUMPRODUCT(($B$166:$B$171="Uzbekistán")*($E$166:$E$171&lt;$F$166:$F$171)*($E$166:$E$171&lt;&gt;"")*($F$166:$F$171&lt;&gt;""))+SUMPRODUCT(($D$166:$D$171="Uzbekistán")*($F$166:$F$171&lt;$E$166:$E$171)*($E$166:$E$171&lt;&gt;"")*($F$166:$F$171&lt;&gt;""))</f>
      </c>
      <c r="G176" s="8">
        <f>SUMPRODUCT(($B$166:$B$171="Uzbekistán")*$E$166:$E$171*($E$166:$E$171&lt;&gt;"")*($F$166:$F$171&lt;&gt;""))+SUMPRODUCT(($D$166:$D$171="Uzbekistán")*$F$166:$F$171*($E$166:$E$171&lt;&gt;"")*($F$166:$F$171&lt;&gt;""))</f>
      </c>
      <c r="H176" s="8">
        <f>SUMPRODUCT(($B$166:$B$171="Uzbekistán")*$F$166:$F$171*($E$166:$E$171&lt;&gt;"")*($F$166:$F$171&lt;&gt;""))+SUMPRODUCT(($D$166:$D$171="Uzbekistán")*$E$166:$E$171*($E$166:$E$171&lt;&gt;"")*($F$166:$F$171&lt;&gt;""))</f>
      </c>
      <c r="I176" s="8">
        <f>G176-H176</f>
      </c>
      <c r="J176" s="13">
        <f>D176*3+E176</f>
      </c>
    </row>
    <row r="177" spans="1:10" x14ac:dyDescent="0.25">
      <c r="A177" s="13">
        <f>SUMPRODUCT((J174:J177&gt;J177)*1)+SUMPRODUCT((J174:J177=J177)*(I174:I177&gt;I177))+SUMPRODUCT((J174:J177=J177)*(I174:I177=I177)*(G174:G177&gt;G177))+1</f>
      </c>
      <c r="B177" s="14" t="s">
        <v>117</v>
      </c>
      <c r="C177" s="8">
        <f>D177+E177+F177</f>
      </c>
      <c r="D177" s="8">
        <f>SUMPRODUCT(($B$166:$B$171="Colombia")*($E$166:$E$171&gt;$F$166:$F$171)*($E$166:$E$171&lt;&gt;"")*($F$166:$F$171&lt;&gt;""))+SUMPRODUCT(($D$166:$D$171="Colombia")*($F$166:$F$171&gt;$E$166:$E$171)*($E$166:$E$171&lt;&gt;"")*($F$166:$F$171&lt;&gt;""))</f>
      </c>
      <c r="E177" s="8">
        <f>SUMPRODUCT((($B$166:$B$171="Colombia")+($D$166:$D$171="Colombia"))*($E$166:$E$171=$F$166:$F$171)*($E$166:$E$171&lt;&gt;"")*($F$166:$F$171&lt;&gt;""))</f>
      </c>
      <c r="F177" s="8">
        <f>SUMPRODUCT(($B$166:$B$171="Colombia")*($E$166:$E$171&lt;$F$166:$F$171)*($E$166:$E$171&lt;&gt;"")*($F$166:$F$171&lt;&gt;""))+SUMPRODUCT(($D$166:$D$171="Colombia")*($F$166:$F$171&lt;$E$166:$E$171)*($E$166:$E$171&lt;&gt;"")*($F$166:$F$171&lt;&gt;""))</f>
      </c>
      <c r="G177" s="8">
        <f>SUMPRODUCT(($B$166:$B$171="Colombia")*$E$166:$E$171*($E$166:$E$171&lt;&gt;"")*($F$166:$F$171&lt;&gt;""))+SUMPRODUCT(($D$166:$D$171="Colombia")*$F$166:$F$171*($E$166:$E$171&lt;&gt;"")*($F$166:$F$171&lt;&gt;""))</f>
      </c>
      <c r="H177" s="8">
        <f>SUMPRODUCT(($B$166:$B$171="Colombia")*$F$166:$F$171*($E$166:$E$171&lt;&gt;"")*($F$166:$F$171&lt;&gt;""))+SUMPRODUCT(($D$166:$D$171="Colombia")*$E$166:$E$171*($E$166:$E$171&lt;&gt;"")*($F$166:$F$171&lt;&gt;""))</f>
      </c>
      <c r="I177" s="8">
        <f>G177-H177</f>
      </c>
      <c r="J177" s="13">
        <f>D177*3+E177</f>
      </c>
    </row>
    <row r="180" spans="1:10" x14ac:dyDescent="0.25">
      <c r="A180" s="11" t="s">
        <v>118</v>
      </c>
      <c r="B180" s="11"/>
      <c r="C180" s="11"/>
      <c r="D180" s="11"/>
      <c r="E180" s="11"/>
      <c r="F180" s="11"/>
      <c r="G180" s="11"/>
      <c r="H180" s="11"/>
      <c r="I180" s="11"/>
      <c r="J180" s="11"/>
    </row>
    <row r="181" spans="1:6" x14ac:dyDescent="0.25">
      <c r="A181" s="3" t="s">
        <v>48</v>
      </c>
      <c r="B181" s="3" t="s">
        <v>49</v>
      </c>
      <c r="C181" s="3" t="s">
        <v>50</v>
      </c>
      <c r="D181" s="3" t="s">
        <v>51</v>
      </c>
      <c r="E181" s="3" t="s">
        <v>52</v>
      </c>
      <c r="F181" s="3" t="s">
        <v>53</v>
      </c>
    </row>
    <row r="182" spans="1:6" x14ac:dyDescent="0.25">
      <c r="A182" s="12">
        <v>1</v>
      </c>
      <c r="B182" t="s">
        <v>119</v>
      </c>
      <c r="C182" s="12" t="s">
        <v>50</v>
      </c>
      <c r="D182" t="s">
        <v>120</v>
      </c>
      <c r="E182" s="7"/>
      <c r="F182" s="7"/>
    </row>
    <row r="183" spans="1:6" x14ac:dyDescent="0.25">
      <c r="A183" s="12">
        <v>2</v>
      </c>
      <c r="B183" t="s">
        <v>119</v>
      </c>
      <c r="C183" s="12" t="s">
        <v>50</v>
      </c>
      <c r="D183" t="s">
        <v>121</v>
      </c>
      <c r="E183" s="7"/>
      <c r="F183" s="7"/>
    </row>
    <row r="184" spans="1:6" x14ac:dyDescent="0.25">
      <c r="A184" s="12">
        <v>3</v>
      </c>
      <c r="B184" t="s">
        <v>119</v>
      </c>
      <c r="C184" s="12" t="s">
        <v>50</v>
      </c>
      <c r="D184" t="s">
        <v>122</v>
      </c>
      <c r="E184" s="7"/>
      <c r="F184" s="7"/>
    </row>
    <row r="185" spans="1:6" x14ac:dyDescent="0.25">
      <c r="A185" s="12">
        <v>4</v>
      </c>
      <c r="B185" t="s">
        <v>120</v>
      </c>
      <c r="C185" s="12" t="s">
        <v>50</v>
      </c>
      <c r="D185" t="s">
        <v>121</v>
      </c>
      <c r="E185" s="7"/>
      <c r="F185" s="7"/>
    </row>
    <row r="186" spans="1:6" x14ac:dyDescent="0.25">
      <c r="A186" s="12">
        <v>5</v>
      </c>
      <c r="B186" t="s">
        <v>120</v>
      </c>
      <c r="C186" s="12" t="s">
        <v>50</v>
      </c>
      <c r="D186" t="s">
        <v>122</v>
      </c>
      <c r="E186" s="7"/>
      <c r="F186" s="7"/>
    </row>
    <row r="187" spans="1:6" x14ac:dyDescent="0.25">
      <c r="A187" s="12">
        <v>6</v>
      </c>
      <c r="B187" t="s">
        <v>121</v>
      </c>
      <c r="C187" s="12" t="s">
        <v>50</v>
      </c>
      <c r="D187" t="s">
        <v>122</v>
      </c>
      <c r="E187" s="7"/>
      <c r="F187" s="7"/>
    </row>
    <row r="189" spans="1:10" x14ac:dyDescent="0.25">
      <c r="A189" s="3" t="s">
        <v>58</v>
      </c>
      <c r="B189" s="3" t="s">
        <v>59</v>
      </c>
      <c r="C189" s="3" t="s">
        <v>60</v>
      </c>
      <c r="D189" s="3" t="s">
        <v>61</v>
      </c>
      <c r="E189" s="3" t="s">
        <v>62</v>
      </c>
      <c r="F189" s="3" t="s">
        <v>63</v>
      </c>
      <c r="G189" s="3" t="s">
        <v>64</v>
      </c>
      <c r="H189" s="3" t="s">
        <v>65</v>
      </c>
      <c r="I189" s="3" t="s">
        <v>66</v>
      </c>
      <c r="J189" s="3" t="s">
        <v>67</v>
      </c>
    </row>
    <row r="190" spans="1:10" x14ac:dyDescent="0.25">
      <c r="A190" s="13">
        <f>SUMPRODUCT((J190:J193&gt;J190)*1)+SUMPRODUCT((J190:J193=J190)*(I190:I193&gt;I190))+SUMPRODUCT((J190:J193=J190)*(I190:I193=I190)*(G190:G193&gt;G190))+1</f>
      </c>
      <c r="B190" s="14" t="s">
        <v>119</v>
      </c>
      <c r="C190" s="8">
        <f>D190+E190+F190</f>
      </c>
      <c r="D190" s="8">
        <f>SUMPRODUCT(($B$182:$B$187="Inglaterra")*($E$182:$E$187&gt;$F$182:$F$187)*($E$182:$E$187&lt;&gt;"")*($F$182:$F$187&lt;&gt;""))+SUMPRODUCT(($D$182:$D$187="Inglaterra")*($F$182:$F$187&gt;$E$182:$E$187)*($E$182:$E$187&lt;&gt;"")*($F$182:$F$187&lt;&gt;""))</f>
      </c>
      <c r="E190" s="8">
        <f>SUMPRODUCT((($B$182:$B$187="Inglaterra")+($D$182:$D$187="Inglaterra"))*($E$182:$E$187=$F$182:$F$187)*($E$182:$E$187&lt;&gt;"")*($F$182:$F$187&lt;&gt;""))</f>
      </c>
      <c r="F190" s="8">
        <f>SUMPRODUCT(($B$182:$B$187="Inglaterra")*($E$182:$E$187&lt;$F$182:$F$187)*($E$182:$E$187&lt;&gt;"")*($F$182:$F$187&lt;&gt;""))+SUMPRODUCT(($D$182:$D$187="Inglaterra")*($F$182:$F$187&lt;$E$182:$E$187)*($E$182:$E$187&lt;&gt;"")*($F$182:$F$187&lt;&gt;""))</f>
      </c>
      <c r="G190" s="8">
        <f>SUMPRODUCT(($B$182:$B$187="Inglaterra")*$E$182:$E$187*($E$182:$E$187&lt;&gt;"")*($F$182:$F$187&lt;&gt;""))+SUMPRODUCT(($D$182:$D$187="Inglaterra")*$F$182:$F$187*($E$182:$E$187&lt;&gt;"")*($F$182:$F$187&lt;&gt;""))</f>
      </c>
      <c r="H190" s="8">
        <f>SUMPRODUCT(($B$182:$B$187="Inglaterra")*$F$182:$F$187*($E$182:$E$187&lt;&gt;"")*($F$182:$F$187&lt;&gt;""))+SUMPRODUCT(($D$182:$D$187="Inglaterra")*$E$182:$E$187*($E$182:$E$187&lt;&gt;"")*($F$182:$F$187&lt;&gt;""))</f>
      </c>
      <c r="I190" s="8">
        <f>G190-H190</f>
      </c>
      <c r="J190" s="13">
        <f>D190*3+E190</f>
      </c>
    </row>
    <row r="191" spans="1:10" x14ac:dyDescent="0.25">
      <c r="A191" s="13">
        <f>SUMPRODUCT((J190:J193&gt;J191)*1)+SUMPRODUCT((J190:J193=J191)*(I190:I193&gt;I191))+SUMPRODUCT((J190:J193=J191)*(I190:I193=I191)*(G190:G193&gt;G191))+1</f>
      </c>
      <c r="B191" s="14" t="s">
        <v>120</v>
      </c>
      <c r="C191" s="8">
        <f>D191+E191+F191</f>
      </c>
      <c r="D191" s="8">
        <f>SUMPRODUCT(($B$182:$B$187="Croacia")*($E$182:$E$187&gt;$F$182:$F$187)*($E$182:$E$187&lt;&gt;"")*($F$182:$F$187&lt;&gt;""))+SUMPRODUCT(($D$182:$D$187="Croacia")*($F$182:$F$187&gt;$E$182:$E$187)*($E$182:$E$187&lt;&gt;"")*($F$182:$F$187&lt;&gt;""))</f>
      </c>
      <c r="E191" s="8">
        <f>SUMPRODUCT((($B$182:$B$187="Croacia")+($D$182:$D$187="Croacia"))*($E$182:$E$187=$F$182:$F$187)*($E$182:$E$187&lt;&gt;"")*($F$182:$F$187&lt;&gt;""))</f>
      </c>
      <c r="F191" s="8">
        <f>SUMPRODUCT(($B$182:$B$187="Croacia")*($E$182:$E$187&lt;$F$182:$F$187)*($E$182:$E$187&lt;&gt;"")*($F$182:$F$187&lt;&gt;""))+SUMPRODUCT(($D$182:$D$187="Croacia")*($F$182:$F$187&lt;$E$182:$E$187)*($E$182:$E$187&lt;&gt;"")*($F$182:$F$187&lt;&gt;""))</f>
      </c>
      <c r="G191" s="8">
        <f>SUMPRODUCT(($B$182:$B$187="Croacia")*$E$182:$E$187*($E$182:$E$187&lt;&gt;"")*($F$182:$F$187&lt;&gt;""))+SUMPRODUCT(($D$182:$D$187="Croacia")*$F$182:$F$187*($E$182:$E$187&lt;&gt;"")*($F$182:$F$187&lt;&gt;""))</f>
      </c>
      <c r="H191" s="8">
        <f>SUMPRODUCT(($B$182:$B$187="Croacia")*$F$182:$F$187*($E$182:$E$187&lt;&gt;"")*($F$182:$F$187&lt;&gt;""))+SUMPRODUCT(($D$182:$D$187="Croacia")*$E$182:$E$187*($E$182:$E$187&lt;&gt;"")*($F$182:$F$187&lt;&gt;""))</f>
      </c>
      <c r="I191" s="8">
        <f>G191-H191</f>
      </c>
      <c r="J191" s="13">
        <f>D191*3+E191</f>
      </c>
    </row>
    <row r="192" spans="1:10" x14ac:dyDescent="0.25">
      <c r="A192" s="13">
        <f>SUMPRODUCT((J190:J193&gt;J192)*1)+SUMPRODUCT((J190:J193=J192)*(I190:I193&gt;I192))+SUMPRODUCT((J190:J193=J192)*(I190:I193=I192)*(G190:G193&gt;G192))+1</f>
      </c>
      <c r="B192" s="14" t="s">
        <v>121</v>
      </c>
      <c r="C192" s="8">
        <f>D192+E192+F192</f>
      </c>
      <c r="D192" s="8">
        <f>SUMPRODUCT(($B$182:$B$187="Ghana")*($E$182:$E$187&gt;$F$182:$F$187)*($E$182:$E$187&lt;&gt;"")*($F$182:$F$187&lt;&gt;""))+SUMPRODUCT(($D$182:$D$187="Ghana")*($F$182:$F$187&gt;$E$182:$E$187)*($E$182:$E$187&lt;&gt;"")*($F$182:$F$187&lt;&gt;""))</f>
      </c>
      <c r="E192" s="8">
        <f>SUMPRODUCT((($B$182:$B$187="Ghana")+($D$182:$D$187="Ghana"))*($E$182:$E$187=$F$182:$F$187)*($E$182:$E$187&lt;&gt;"")*($F$182:$F$187&lt;&gt;""))</f>
      </c>
      <c r="F192" s="8">
        <f>SUMPRODUCT(($B$182:$B$187="Ghana")*($E$182:$E$187&lt;$F$182:$F$187)*($E$182:$E$187&lt;&gt;"")*($F$182:$F$187&lt;&gt;""))+SUMPRODUCT(($D$182:$D$187="Ghana")*($F$182:$F$187&lt;$E$182:$E$187)*($E$182:$E$187&lt;&gt;"")*($F$182:$F$187&lt;&gt;""))</f>
      </c>
      <c r="G192" s="8">
        <f>SUMPRODUCT(($B$182:$B$187="Ghana")*$E$182:$E$187*($E$182:$E$187&lt;&gt;"")*($F$182:$F$187&lt;&gt;""))+SUMPRODUCT(($D$182:$D$187="Ghana")*$F$182:$F$187*($E$182:$E$187&lt;&gt;"")*($F$182:$F$187&lt;&gt;""))</f>
      </c>
      <c r="H192" s="8">
        <f>SUMPRODUCT(($B$182:$B$187="Ghana")*$F$182:$F$187*($E$182:$E$187&lt;&gt;"")*($F$182:$F$187&lt;&gt;""))+SUMPRODUCT(($D$182:$D$187="Ghana")*$E$182:$E$187*($E$182:$E$187&lt;&gt;"")*($F$182:$F$187&lt;&gt;""))</f>
      </c>
      <c r="I192" s="8">
        <f>G192-H192</f>
      </c>
      <c r="J192" s="13">
        <f>D192*3+E192</f>
      </c>
    </row>
    <row r="193" spans="1:10" x14ac:dyDescent="0.25">
      <c r="A193" s="13">
        <f>SUMPRODUCT((J190:J193&gt;J193)*1)+SUMPRODUCT((J190:J193=J193)*(I190:I193&gt;I193))+SUMPRODUCT((J190:J193=J193)*(I190:I193=I193)*(G190:G193&gt;G193))+1</f>
      </c>
      <c r="B193" s="14" t="s">
        <v>122</v>
      </c>
      <c r="C193" s="8">
        <f>D193+E193+F193</f>
      </c>
      <c r="D193" s="8">
        <f>SUMPRODUCT(($B$182:$B$187="Panamá")*($E$182:$E$187&gt;$F$182:$F$187)*($E$182:$E$187&lt;&gt;"")*($F$182:$F$187&lt;&gt;""))+SUMPRODUCT(($D$182:$D$187="Panamá")*($F$182:$F$187&gt;$E$182:$E$187)*($E$182:$E$187&lt;&gt;"")*($F$182:$F$187&lt;&gt;""))</f>
      </c>
      <c r="E193" s="8">
        <f>SUMPRODUCT((($B$182:$B$187="Panamá")+($D$182:$D$187="Panamá"))*($E$182:$E$187=$F$182:$F$187)*($E$182:$E$187&lt;&gt;"")*($F$182:$F$187&lt;&gt;""))</f>
      </c>
      <c r="F193" s="8">
        <f>SUMPRODUCT(($B$182:$B$187="Panamá")*($E$182:$E$187&lt;$F$182:$F$187)*($E$182:$E$187&lt;&gt;"")*($F$182:$F$187&lt;&gt;""))+SUMPRODUCT(($D$182:$D$187="Panamá")*($F$182:$F$187&lt;$E$182:$E$187)*($E$182:$E$187&lt;&gt;"")*($F$182:$F$187&lt;&gt;""))</f>
      </c>
      <c r="G193" s="8">
        <f>SUMPRODUCT(($B$182:$B$187="Panamá")*$E$182:$E$187*($E$182:$E$187&lt;&gt;"")*($F$182:$F$187&lt;&gt;""))+SUMPRODUCT(($D$182:$D$187="Panamá")*$F$182:$F$187*($E$182:$E$187&lt;&gt;"")*($F$182:$F$187&lt;&gt;""))</f>
      </c>
      <c r="H193" s="8">
        <f>SUMPRODUCT(($B$182:$B$187="Panamá")*$F$182:$F$187*($E$182:$E$187&lt;&gt;"")*($F$182:$F$187&lt;&gt;""))+SUMPRODUCT(($D$182:$D$187="Panamá")*$E$182:$E$187*($E$182:$E$187&lt;&gt;"")*($F$182:$F$187&lt;&gt;""))</f>
      </c>
      <c r="I193" s="8">
        <f>G193-H193</f>
      </c>
      <c r="J193" s="13">
        <f>D193*3+E193</f>
      </c>
    </row>
    <row r="197" spans="1:10" x14ac:dyDescent="0.25">
      <c r="A197" s="11" t="s">
        <v>123</v>
      </c>
      <c r="B197" s="11"/>
      <c r="C197" s="11"/>
      <c r="D197" s="11"/>
      <c r="E197" s="11"/>
      <c r="F197" s="11"/>
      <c r="G197" s="11"/>
      <c r="H197" s="11"/>
      <c r="I197" s="11"/>
      <c r="J197" s="11"/>
    </row>
    <row r="198" spans="1:10" x14ac:dyDescent="0.25">
      <c r="A198" s="6" t="s">
        <v>124</v>
      </c>
      <c r="B198" s="6"/>
      <c r="C198" s="6"/>
      <c r="D198" s="6"/>
      <c r="E198" s="6"/>
      <c r="F198" s="6"/>
      <c r="G198" s="6"/>
      <c r="H198" s="6"/>
      <c r="I198" s="6"/>
      <c r="J198" s="6"/>
    </row>
    <row r="199" spans="1:3" x14ac:dyDescent="0.25">
      <c r="A199" s="3" t="s">
        <v>125</v>
      </c>
      <c r="B199" s="3" t="s">
        <v>126</v>
      </c>
      <c r="C199" s="3" t="s">
        <v>127</v>
      </c>
    </row>
    <row r="200" spans="1:3" x14ac:dyDescent="0.25">
      <c r="A200" s="15" t="s">
        <v>128</v>
      </c>
      <c r="B200" s="8">
        <f>INDEX(B14:B17,MATCH(1,A14:A17,0))</f>
      </c>
      <c r="C200" s="8">
        <f>INDEX(B14:B17,MATCH(2,A14:A17,0))</f>
      </c>
    </row>
    <row r="201" spans="1:3" x14ac:dyDescent="0.25">
      <c r="A201" s="15" t="s">
        <v>129</v>
      </c>
      <c r="B201" s="8">
        <f>INDEX(B30:B33,MATCH(1,A30:A33,0))</f>
      </c>
      <c r="C201" s="8">
        <f>INDEX(B30:B33,MATCH(2,A30:A33,0))</f>
      </c>
    </row>
    <row r="202" spans="1:3" x14ac:dyDescent="0.25">
      <c r="A202" s="15" t="s">
        <v>130</v>
      </c>
      <c r="B202" s="8">
        <f>INDEX(B46:B49,MATCH(1,A46:A49,0))</f>
      </c>
      <c r="C202" s="8">
        <f>INDEX(B46:B49,MATCH(2,A46:A49,0))</f>
      </c>
    </row>
    <row r="203" spans="1:3" x14ac:dyDescent="0.25">
      <c r="A203" s="15" t="s">
        <v>131</v>
      </c>
      <c r="B203" s="8">
        <f>INDEX(B62:B65,MATCH(1,A62:A65,0))</f>
      </c>
      <c r="C203" s="8">
        <f>INDEX(B62:B65,MATCH(2,A62:A65,0))</f>
      </c>
    </row>
    <row r="204" spans="1:3" x14ac:dyDescent="0.25">
      <c r="A204" s="15" t="s">
        <v>62</v>
      </c>
      <c r="B204" s="8">
        <f>INDEX(B78:B81,MATCH(1,A78:A81,0))</f>
      </c>
      <c r="C204" s="8">
        <f>INDEX(B78:B81,MATCH(2,A78:A81,0))</f>
      </c>
    </row>
    <row r="205" spans="1:3" x14ac:dyDescent="0.25">
      <c r="A205" s="15" t="s">
        <v>132</v>
      </c>
      <c r="B205" s="8">
        <f>INDEX(B94:B97,MATCH(1,A94:A97,0))</f>
      </c>
      <c r="C205" s="8">
        <f>INDEX(B94:B97,MATCH(2,A94:A97,0))</f>
      </c>
    </row>
    <row r="206" spans="1:3" x14ac:dyDescent="0.25">
      <c r="A206" s="15" t="s">
        <v>61</v>
      </c>
      <c r="B206" s="8">
        <f>INDEX(B110:B113,MATCH(1,A110:A113,0))</f>
      </c>
      <c r="C206" s="8">
        <f>INDEX(B110:B113,MATCH(2,A110:A113,0))</f>
      </c>
    </row>
    <row r="207" spans="1:3" x14ac:dyDescent="0.25">
      <c r="A207" s="15" t="s">
        <v>133</v>
      </c>
      <c r="B207" s="8">
        <f>INDEX(B126:B129,MATCH(1,A126:A129,0))</f>
      </c>
      <c r="C207" s="8">
        <f>INDEX(B126:B129,MATCH(2,A126:A129,0))</f>
      </c>
    </row>
    <row r="208" spans="1:3" x14ac:dyDescent="0.25">
      <c r="A208" s="15" t="s">
        <v>134</v>
      </c>
      <c r="B208" s="8">
        <f>INDEX(B142:B145,MATCH(1,A142:A145,0))</f>
      </c>
      <c r="C208" s="8">
        <f>INDEX(B142:B145,MATCH(2,A142:A145,0))</f>
      </c>
    </row>
    <row r="209" spans="1:3" x14ac:dyDescent="0.25">
      <c r="A209" s="15" t="s">
        <v>135</v>
      </c>
      <c r="B209" s="8">
        <f>INDEX(B158:B161,MATCH(1,A158:A161,0))</f>
      </c>
      <c r="C209" s="8">
        <f>INDEX(B158:B161,MATCH(2,A158:A161,0))</f>
      </c>
    </row>
    <row r="210" spans="1:3" x14ac:dyDescent="0.25">
      <c r="A210" s="15" t="s">
        <v>136</v>
      </c>
      <c r="B210" s="8">
        <f>INDEX(B174:B177,MATCH(1,A174:A177,0))</f>
      </c>
      <c r="C210" s="8">
        <f>INDEX(B174:B177,MATCH(2,A174:A177,0))</f>
      </c>
    </row>
    <row r="211" spans="1:3" x14ac:dyDescent="0.25">
      <c r="A211" s="15" t="s">
        <v>137</v>
      </c>
      <c r="B211" s="8">
        <f>INDEX(B190:B193,MATCH(1,A190:A193,0))</f>
      </c>
      <c r="C211" s="8">
        <f>INDEX(B190:B193,MATCH(2,A190:A193,0))</f>
      </c>
    </row>
    <row r="213" spans="1:10" x14ac:dyDescent="0.25">
      <c r="A213" s="6" t="s">
        <v>138</v>
      </c>
      <c r="B213" s="6"/>
      <c r="C213" s="6"/>
      <c r="D213" s="6"/>
      <c r="E213" s="6"/>
      <c r="F213" s="6"/>
      <c r="G213" s="6"/>
      <c r="H213" s="6"/>
      <c r="I213" s="6"/>
      <c r="J213" s="6"/>
    </row>
    <row r="214" spans="1:6" x14ac:dyDescent="0.25">
      <c r="A214" s="3" t="s">
        <v>125</v>
      </c>
      <c r="B214" s="3" t="s">
        <v>139</v>
      </c>
      <c r="C214" s="3" t="s">
        <v>67</v>
      </c>
      <c r="D214" s="3" t="s">
        <v>66</v>
      </c>
      <c r="E214" s="3" t="s">
        <v>64</v>
      </c>
      <c r="F214" s="3" t="s">
        <v>140</v>
      </c>
    </row>
    <row r="215" spans="1:6" x14ac:dyDescent="0.25">
      <c r="A215" s="15" t="s">
        <v>128</v>
      </c>
      <c r="B215" s="8">
        <f>INDEX(B14:B17,MATCH(3,A14:A17,0))</f>
      </c>
      <c r="C215" s="8">
        <f>INDEX(J14:J17,MATCH(3,A14:A17,0))</f>
      </c>
      <c r="D215" s="8">
        <f>INDEX(I14:I17,MATCH(3,A14:A17,0))</f>
      </c>
      <c r="E215" s="8">
        <f>INDEX(G14:G17,MATCH(3,A14:A17,0))</f>
      </c>
      <c r="F215" s="16">
        <f>IF(SUMPRODUCT((C215:C226&gt;C215)*1)+SUMPRODUCT((C215:C226=C215)*(D215:D226&gt;D215))+SUMPRODUCT((C215:C226=C215)*(D215:D226=D215)*(E215:E226&gt;E215))+1&lt;=8,"✓ PASA","—")</f>
      </c>
    </row>
    <row r="216" spans="1:6" x14ac:dyDescent="0.25">
      <c r="A216" s="15" t="s">
        <v>129</v>
      </c>
      <c r="B216" s="8">
        <f>INDEX(B30:B33,MATCH(3,A30:A33,0))</f>
      </c>
      <c r="C216" s="8">
        <f>INDEX(J30:J33,MATCH(3,A30:A33,0))</f>
      </c>
      <c r="D216" s="8">
        <f>INDEX(I30:I33,MATCH(3,A30:A33,0))</f>
      </c>
      <c r="E216" s="8">
        <f>INDEX(G30:G33,MATCH(3,A30:A33,0))</f>
      </c>
      <c r="F216" s="16">
        <f>IF(SUMPRODUCT((C215:C226&gt;C216)*1)+SUMPRODUCT((C215:C226=C216)*(D215:D226&gt;D216))+SUMPRODUCT((C215:C226=C216)*(D215:D226=D216)*(E215:E226&gt;E216))+1&lt;=8,"✓ PASA","—")</f>
      </c>
    </row>
    <row r="217" spans="1:6" x14ac:dyDescent="0.25">
      <c r="A217" s="15" t="s">
        <v>130</v>
      </c>
      <c r="B217" s="8">
        <f>INDEX(B46:B49,MATCH(3,A46:A49,0))</f>
      </c>
      <c r="C217" s="8">
        <f>INDEX(J46:J49,MATCH(3,A46:A49,0))</f>
      </c>
      <c r="D217" s="8">
        <f>INDEX(I46:I49,MATCH(3,A46:A49,0))</f>
      </c>
      <c r="E217" s="8">
        <f>INDEX(G46:G49,MATCH(3,A46:A49,0))</f>
      </c>
      <c r="F217" s="16">
        <f>IF(SUMPRODUCT((C215:C226&gt;C217)*1)+SUMPRODUCT((C215:C226=C217)*(D215:D226&gt;D217))+SUMPRODUCT((C215:C226=C217)*(D215:D226=D217)*(E215:E226&gt;E217))+1&lt;=8,"✓ PASA","—")</f>
      </c>
    </row>
    <row r="218" spans="1:6" x14ac:dyDescent="0.25">
      <c r="A218" s="15" t="s">
        <v>131</v>
      </c>
      <c r="B218" s="8">
        <f>INDEX(B62:B65,MATCH(3,A62:A65,0))</f>
      </c>
      <c r="C218" s="8">
        <f>INDEX(J62:J65,MATCH(3,A62:A65,0))</f>
      </c>
      <c r="D218" s="8">
        <f>INDEX(I62:I65,MATCH(3,A62:A65,0))</f>
      </c>
      <c r="E218" s="8">
        <f>INDEX(G62:G65,MATCH(3,A62:A65,0))</f>
      </c>
      <c r="F218" s="16">
        <f>IF(SUMPRODUCT((C215:C226&gt;C218)*1)+SUMPRODUCT((C215:C226=C218)*(D215:D226&gt;D218))+SUMPRODUCT((C215:C226=C218)*(D215:D226=D218)*(E215:E226&gt;E218))+1&lt;=8,"✓ PASA","—")</f>
      </c>
    </row>
    <row r="219" spans="1:6" x14ac:dyDescent="0.25">
      <c r="A219" s="15" t="s">
        <v>62</v>
      </c>
      <c r="B219" s="8">
        <f>INDEX(B78:B81,MATCH(3,A78:A81,0))</f>
      </c>
      <c r="C219" s="8">
        <f>INDEX(J78:J81,MATCH(3,A78:A81,0))</f>
      </c>
      <c r="D219" s="8">
        <f>INDEX(I78:I81,MATCH(3,A78:A81,0))</f>
      </c>
      <c r="E219" s="8">
        <f>INDEX(G78:G81,MATCH(3,A78:A81,0))</f>
      </c>
      <c r="F219" s="16">
        <f>IF(SUMPRODUCT((C215:C226&gt;C219)*1)+SUMPRODUCT((C215:C226=C219)*(D215:D226&gt;D219))+SUMPRODUCT((C215:C226=C219)*(D215:D226=D219)*(E215:E226&gt;E219))+1&lt;=8,"✓ PASA","—")</f>
      </c>
    </row>
    <row r="220" spans="1:6" x14ac:dyDescent="0.25">
      <c r="A220" s="15" t="s">
        <v>132</v>
      </c>
      <c r="B220" s="8">
        <f>INDEX(B94:B97,MATCH(3,A94:A97,0))</f>
      </c>
      <c r="C220" s="8">
        <f>INDEX(J94:J97,MATCH(3,A94:A97,0))</f>
      </c>
      <c r="D220" s="8">
        <f>INDEX(I94:I97,MATCH(3,A94:A97,0))</f>
      </c>
      <c r="E220" s="8">
        <f>INDEX(G94:G97,MATCH(3,A94:A97,0))</f>
      </c>
      <c r="F220" s="16">
        <f>IF(SUMPRODUCT((C215:C226&gt;C220)*1)+SUMPRODUCT((C215:C226=C220)*(D215:D226&gt;D220))+SUMPRODUCT((C215:C226=C220)*(D215:D226=D220)*(E215:E226&gt;E220))+1&lt;=8,"✓ PASA","—")</f>
      </c>
    </row>
    <row r="221" spans="1:6" x14ac:dyDescent="0.25">
      <c r="A221" s="15" t="s">
        <v>61</v>
      </c>
      <c r="B221" s="8">
        <f>INDEX(B110:B113,MATCH(3,A110:A113,0))</f>
      </c>
      <c r="C221" s="8">
        <f>INDEX(J110:J113,MATCH(3,A110:A113,0))</f>
      </c>
      <c r="D221" s="8">
        <f>INDEX(I110:I113,MATCH(3,A110:A113,0))</f>
      </c>
      <c r="E221" s="8">
        <f>INDEX(G110:G113,MATCH(3,A110:A113,0))</f>
      </c>
      <c r="F221" s="16">
        <f>IF(SUMPRODUCT((C215:C226&gt;C221)*1)+SUMPRODUCT((C215:C226=C221)*(D215:D226&gt;D221))+SUMPRODUCT((C215:C226=C221)*(D215:D226=D221)*(E215:E226&gt;E221))+1&lt;=8,"✓ PASA","—")</f>
      </c>
    </row>
    <row r="222" spans="1:6" x14ac:dyDescent="0.25">
      <c r="A222" s="15" t="s">
        <v>133</v>
      </c>
      <c r="B222" s="8">
        <f>INDEX(B126:B129,MATCH(3,A126:A129,0))</f>
      </c>
      <c r="C222" s="8">
        <f>INDEX(J126:J129,MATCH(3,A126:A129,0))</f>
      </c>
      <c r="D222" s="8">
        <f>INDEX(I126:I129,MATCH(3,A126:A129,0))</f>
      </c>
      <c r="E222" s="8">
        <f>INDEX(G126:G129,MATCH(3,A126:A129,0))</f>
      </c>
      <c r="F222" s="16">
        <f>IF(SUMPRODUCT((C215:C226&gt;C222)*1)+SUMPRODUCT((C215:C226=C222)*(D215:D226&gt;D222))+SUMPRODUCT((C215:C226=C222)*(D215:D226=D222)*(E215:E226&gt;E222))+1&lt;=8,"✓ PASA","—")</f>
      </c>
    </row>
    <row r="223" spans="1:6" x14ac:dyDescent="0.25">
      <c r="A223" s="15" t="s">
        <v>134</v>
      </c>
      <c r="B223" s="8">
        <f>INDEX(B142:B145,MATCH(3,A142:A145,0))</f>
      </c>
      <c r="C223" s="8">
        <f>INDEX(J142:J145,MATCH(3,A142:A145,0))</f>
      </c>
      <c r="D223" s="8">
        <f>INDEX(I142:I145,MATCH(3,A142:A145,0))</f>
      </c>
      <c r="E223" s="8">
        <f>INDEX(G142:G145,MATCH(3,A142:A145,0))</f>
      </c>
      <c r="F223" s="16">
        <f>IF(SUMPRODUCT((C215:C226&gt;C223)*1)+SUMPRODUCT((C215:C226=C223)*(D215:D226&gt;D223))+SUMPRODUCT((C215:C226=C223)*(D215:D226=D223)*(E215:E226&gt;E223))+1&lt;=8,"✓ PASA","—")</f>
      </c>
    </row>
    <row r="224" spans="1:6" x14ac:dyDescent="0.25">
      <c r="A224" s="15" t="s">
        <v>135</v>
      </c>
      <c r="B224" s="8">
        <f>INDEX(B158:B161,MATCH(3,A158:A161,0))</f>
      </c>
      <c r="C224" s="8">
        <f>INDEX(J158:J161,MATCH(3,A158:A161,0))</f>
      </c>
      <c r="D224" s="8">
        <f>INDEX(I158:I161,MATCH(3,A158:A161,0))</f>
      </c>
      <c r="E224" s="8">
        <f>INDEX(G158:G161,MATCH(3,A158:A161,0))</f>
      </c>
      <c r="F224" s="16">
        <f>IF(SUMPRODUCT((C215:C226&gt;C224)*1)+SUMPRODUCT((C215:C226=C224)*(D215:D226&gt;D224))+SUMPRODUCT((C215:C226=C224)*(D215:D226=D224)*(E215:E226&gt;E224))+1&lt;=8,"✓ PASA","—")</f>
      </c>
    </row>
    <row r="225" spans="1:6" x14ac:dyDescent="0.25">
      <c r="A225" s="15" t="s">
        <v>136</v>
      </c>
      <c r="B225" s="8">
        <f>INDEX(B174:B177,MATCH(3,A174:A177,0))</f>
      </c>
      <c r="C225" s="8">
        <f>INDEX(J174:J177,MATCH(3,A174:A177,0))</f>
      </c>
      <c r="D225" s="8">
        <f>INDEX(I174:I177,MATCH(3,A174:A177,0))</f>
      </c>
      <c r="E225" s="8">
        <f>INDEX(G174:G177,MATCH(3,A174:A177,0))</f>
      </c>
      <c r="F225" s="16">
        <f>IF(SUMPRODUCT((C215:C226&gt;C225)*1)+SUMPRODUCT((C215:C226=C225)*(D215:D226&gt;D225))+SUMPRODUCT((C215:C226=C225)*(D215:D226=D225)*(E215:E226&gt;E225))+1&lt;=8,"✓ PASA","—")</f>
      </c>
    </row>
    <row r="226" spans="1:6" x14ac:dyDescent="0.25">
      <c r="A226" s="15" t="s">
        <v>137</v>
      </c>
      <c r="B226" s="8">
        <f>INDEX(B190:B193,MATCH(3,A190:A193,0))</f>
      </c>
      <c r="C226" s="8">
        <f>INDEX(J190:J193,MATCH(3,A190:A193,0))</f>
      </c>
      <c r="D226" s="8">
        <f>INDEX(I190:I193,MATCH(3,A190:A193,0))</f>
      </c>
      <c r="E226" s="8">
        <f>INDEX(G190:G193,MATCH(3,A190:A193,0))</f>
      </c>
      <c r="F226" s="16">
        <f>IF(SUMPRODUCT((C215:C226&gt;C226)*1)+SUMPRODUCT((C215:C226=C226)*(D215:D226&gt;D226))+SUMPRODUCT((C215:C226=C226)*(D215:D226=D226)*(E215:E226&gt;E226))+1&lt;=8,"✓ PASA","—")</f>
      </c>
    </row>
  </sheetData>
  <mergeCells count="17">
    <mergeCell ref="A1:J1"/>
    <mergeCell ref="A2:J2"/>
    <mergeCell ref="A4:J4"/>
    <mergeCell ref="A20:J20"/>
    <mergeCell ref="A36:J36"/>
    <mergeCell ref="A52:J52"/>
    <mergeCell ref="A68:J68"/>
    <mergeCell ref="A84:J84"/>
    <mergeCell ref="A100:J100"/>
    <mergeCell ref="A116:J116"/>
    <mergeCell ref="A132:J132"/>
    <mergeCell ref="A148:J148"/>
    <mergeCell ref="A164:J164"/>
    <mergeCell ref="A180:J180"/>
    <mergeCell ref="A197:J197"/>
    <mergeCell ref="A198:J198"/>
    <mergeCell ref="A213:J213"/>
  </mergeCells>
  <conditionalFormatting sqref="F215:F226">
    <cfRule type="containsText" dxfId="0" priority="1">
      <formula>NOT(ISERROR(SEARCH("✓ PASA",F215)))</formula>
    </cfRule>
    <cfRule type="containsText" dxfId="1" priority="2">
      <formula>NOT(ISERROR(SEARCH("—",F215)))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FormatPr defaultRowHeight="15" outlineLevelRow="0" outlineLevelCol="0" x14ac:dyDescent="55"/>
  <cols>
    <col min="1" max="1" width="6" customWidth="1"/>
    <col min="2" max="2" width="32" customWidth="1"/>
  </cols>
  <sheetData>
    <row r="1" ht="28" customHeight="1" spans="1:2" x14ac:dyDescent="0.25">
      <c r="A1" s="1" t="s">
        <v>141</v>
      </c>
      <c r="B1" s="1"/>
    </row>
    <row r="2" spans="1:2" x14ac:dyDescent="0.25">
      <c r="A2" s="10" t="s">
        <v>142</v>
      </c>
      <c r="B2" s="10"/>
    </row>
    <row r="4" spans="1:2" x14ac:dyDescent="0.25">
      <c r="A4" s="5" t="s">
        <v>143</v>
      </c>
      <c r="B4" s="5"/>
    </row>
    <row r="5" spans="1:2" x14ac:dyDescent="0.25">
      <c r="A5" s="3" t="s">
        <v>48</v>
      </c>
      <c r="B5" s="3" t="s">
        <v>59</v>
      </c>
    </row>
    <row r="6" spans="1:2" x14ac:dyDescent="0.25">
      <c r="A6" s="12">
        <v>1</v>
      </c>
      <c r="B6" s="7"/>
    </row>
    <row r="7" spans="1:2" x14ac:dyDescent="0.25">
      <c r="A7" s="12">
        <v>2</v>
      </c>
      <c r="B7" s="7"/>
    </row>
    <row r="8" spans="1:2" x14ac:dyDescent="0.25">
      <c r="A8" s="12">
        <v>3</v>
      </c>
      <c r="B8" s="7"/>
    </row>
    <row r="9" spans="1:2" x14ac:dyDescent="0.25">
      <c r="A9" s="12">
        <v>4</v>
      </c>
      <c r="B9" s="7"/>
    </row>
    <row r="10" spans="1:2" x14ac:dyDescent="0.25">
      <c r="A10" s="12">
        <v>5</v>
      </c>
      <c r="B10" s="7"/>
    </row>
    <row r="11" spans="1:2" x14ac:dyDescent="0.25">
      <c r="A11" s="12">
        <v>6</v>
      </c>
      <c r="B11" s="7"/>
    </row>
    <row r="12" spans="1:2" x14ac:dyDescent="0.25">
      <c r="A12" s="12">
        <v>7</v>
      </c>
      <c r="B12" s="7"/>
    </row>
    <row r="13" spans="1:2" x14ac:dyDescent="0.25">
      <c r="A13" s="12">
        <v>8</v>
      </c>
      <c r="B13" s="7"/>
    </row>
    <row r="14" spans="1:2" x14ac:dyDescent="0.25">
      <c r="A14" s="12">
        <v>9</v>
      </c>
      <c r="B14" s="7"/>
    </row>
    <row r="15" spans="1:2" x14ac:dyDescent="0.25">
      <c r="A15" s="12">
        <v>10</v>
      </c>
      <c r="B15" s="7"/>
    </row>
    <row r="16" spans="1:2" x14ac:dyDescent="0.25">
      <c r="A16" s="12">
        <v>11</v>
      </c>
      <c r="B16" s="7"/>
    </row>
    <row r="17" spans="1:2" x14ac:dyDescent="0.25">
      <c r="A17" s="12">
        <v>12</v>
      </c>
      <c r="B17" s="7"/>
    </row>
    <row r="18" spans="1:2" x14ac:dyDescent="0.25">
      <c r="A18" s="12">
        <v>13</v>
      </c>
      <c r="B18" s="7"/>
    </row>
    <row r="19" spans="1:2" x14ac:dyDescent="0.25">
      <c r="A19" s="12">
        <v>14</v>
      </c>
      <c r="B19" s="7"/>
    </row>
    <row r="20" spans="1:2" x14ac:dyDescent="0.25">
      <c r="A20" s="12">
        <v>15</v>
      </c>
      <c r="B20" s="7"/>
    </row>
    <row r="21" spans="1:2" x14ac:dyDescent="0.25">
      <c r="A21" s="12">
        <v>16</v>
      </c>
      <c r="B21" s="7"/>
    </row>
    <row r="22" spans="1:2" x14ac:dyDescent="0.25">
      <c r="A22" s="12">
        <v>17</v>
      </c>
      <c r="B22" s="7"/>
    </row>
    <row r="23" spans="1:2" x14ac:dyDescent="0.25">
      <c r="A23" s="12">
        <v>18</v>
      </c>
      <c r="B23" s="7"/>
    </row>
    <row r="24" spans="1:2" x14ac:dyDescent="0.25">
      <c r="A24" s="12">
        <v>19</v>
      </c>
      <c r="B24" s="7"/>
    </row>
    <row r="25" spans="1:2" x14ac:dyDescent="0.25">
      <c r="A25" s="12">
        <v>20</v>
      </c>
      <c r="B25" s="7"/>
    </row>
    <row r="26" spans="1:2" x14ac:dyDescent="0.25">
      <c r="A26" s="12">
        <v>21</v>
      </c>
      <c r="B26" s="7"/>
    </row>
    <row r="27" spans="1:2" x14ac:dyDescent="0.25">
      <c r="A27" s="12">
        <v>22</v>
      </c>
      <c r="B27" s="7"/>
    </row>
    <row r="28" spans="1:2" x14ac:dyDescent="0.25">
      <c r="A28" s="12">
        <v>23</v>
      </c>
      <c r="B28" s="7"/>
    </row>
    <row r="29" spans="1:2" x14ac:dyDescent="0.25">
      <c r="A29" s="12">
        <v>24</v>
      </c>
      <c r="B29" s="7"/>
    </row>
    <row r="30" spans="1:2" x14ac:dyDescent="0.25">
      <c r="A30" s="12">
        <v>25</v>
      </c>
      <c r="B30" s="7"/>
    </row>
    <row r="31" spans="1:2" x14ac:dyDescent="0.25">
      <c r="A31" s="12">
        <v>26</v>
      </c>
      <c r="B31" s="7"/>
    </row>
    <row r="32" spans="1:2" x14ac:dyDescent="0.25">
      <c r="A32" s="12">
        <v>27</v>
      </c>
      <c r="B32" s="7"/>
    </row>
    <row r="33" spans="1:2" x14ac:dyDescent="0.25">
      <c r="A33" s="12">
        <v>28</v>
      </c>
      <c r="B33" s="7"/>
    </row>
    <row r="34" spans="1:2" x14ac:dyDescent="0.25">
      <c r="A34" s="12">
        <v>29</v>
      </c>
      <c r="B34" s="7"/>
    </row>
    <row r="35" spans="1:2" x14ac:dyDescent="0.25">
      <c r="A35" s="12">
        <v>30</v>
      </c>
      <c r="B35" s="7"/>
    </row>
    <row r="36" spans="1:2" x14ac:dyDescent="0.25">
      <c r="A36" s="12">
        <v>31</v>
      </c>
      <c r="B36" s="7"/>
    </row>
    <row r="37" spans="1:2" x14ac:dyDescent="0.25">
      <c r="A37" s="12">
        <v>32</v>
      </c>
      <c r="B37" s="7"/>
    </row>
    <row r="39" spans="1:2" x14ac:dyDescent="0.25">
      <c r="A39" s="5" t="s">
        <v>144</v>
      </c>
      <c r="B39" s="5"/>
    </row>
    <row r="40" spans="1:2" x14ac:dyDescent="0.25">
      <c r="A40" s="3" t="s">
        <v>48</v>
      </c>
      <c r="B40" s="3" t="s">
        <v>59</v>
      </c>
    </row>
    <row r="41" spans="1:2" x14ac:dyDescent="0.25">
      <c r="A41" s="12">
        <v>1</v>
      </c>
      <c r="B41" s="7"/>
    </row>
    <row r="42" spans="1:2" x14ac:dyDescent="0.25">
      <c r="A42" s="12">
        <v>2</v>
      </c>
      <c r="B42" s="7"/>
    </row>
    <row r="43" spans="1:2" x14ac:dyDescent="0.25">
      <c r="A43" s="12">
        <v>3</v>
      </c>
      <c r="B43" s="7"/>
    </row>
    <row r="44" spans="1:2" x14ac:dyDescent="0.25">
      <c r="A44" s="12">
        <v>4</v>
      </c>
      <c r="B44" s="7"/>
    </row>
    <row r="45" spans="1:2" x14ac:dyDescent="0.25">
      <c r="A45" s="12">
        <v>5</v>
      </c>
      <c r="B45" s="7"/>
    </row>
    <row r="46" spans="1:2" x14ac:dyDescent="0.25">
      <c r="A46" s="12">
        <v>6</v>
      </c>
      <c r="B46" s="7"/>
    </row>
    <row r="47" spans="1:2" x14ac:dyDescent="0.25">
      <c r="A47" s="12">
        <v>7</v>
      </c>
      <c r="B47" s="7"/>
    </row>
    <row r="48" spans="1:2" x14ac:dyDescent="0.25">
      <c r="A48" s="12">
        <v>8</v>
      </c>
      <c r="B48" s="7"/>
    </row>
    <row r="49" spans="1:2" x14ac:dyDescent="0.25">
      <c r="A49" s="12">
        <v>9</v>
      </c>
      <c r="B49" s="7"/>
    </row>
    <row r="50" spans="1:2" x14ac:dyDescent="0.25">
      <c r="A50" s="12">
        <v>10</v>
      </c>
      <c r="B50" s="7"/>
    </row>
    <row r="51" spans="1:2" x14ac:dyDescent="0.25">
      <c r="A51" s="12">
        <v>11</v>
      </c>
      <c r="B51" s="7"/>
    </row>
    <row r="52" spans="1:2" x14ac:dyDescent="0.25">
      <c r="A52" s="12">
        <v>12</v>
      </c>
      <c r="B52" s="7"/>
    </row>
    <row r="53" spans="1:2" x14ac:dyDescent="0.25">
      <c r="A53" s="12">
        <v>13</v>
      </c>
      <c r="B53" s="7"/>
    </row>
    <row r="54" spans="1:2" x14ac:dyDescent="0.25">
      <c r="A54" s="12">
        <v>14</v>
      </c>
      <c r="B54" s="7"/>
    </row>
    <row r="55" spans="1:2" x14ac:dyDescent="0.25">
      <c r="A55" s="12">
        <v>15</v>
      </c>
      <c r="B55" s="7"/>
    </row>
    <row r="56" spans="1:2" x14ac:dyDescent="0.25">
      <c r="A56" s="12">
        <v>16</v>
      </c>
      <c r="B56" s="7"/>
    </row>
    <row r="58" spans="1:2" x14ac:dyDescent="0.25">
      <c r="A58" s="5" t="s">
        <v>145</v>
      </c>
      <c r="B58" s="5"/>
    </row>
    <row r="59" spans="1:2" x14ac:dyDescent="0.25">
      <c r="A59" s="3" t="s">
        <v>48</v>
      </c>
      <c r="B59" s="3" t="s">
        <v>59</v>
      </c>
    </row>
    <row r="60" spans="1:2" x14ac:dyDescent="0.25">
      <c r="A60" s="12">
        <v>1</v>
      </c>
      <c r="B60" s="7"/>
    </row>
    <row r="61" spans="1:2" x14ac:dyDescent="0.25">
      <c r="A61" s="12">
        <v>2</v>
      </c>
      <c r="B61" s="7"/>
    </row>
    <row r="62" spans="1:2" x14ac:dyDescent="0.25">
      <c r="A62" s="12">
        <v>3</v>
      </c>
      <c r="B62" s="7"/>
    </row>
    <row r="63" spans="1:2" x14ac:dyDescent="0.25">
      <c r="A63" s="12">
        <v>4</v>
      </c>
      <c r="B63" s="7"/>
    </row>
    <row r="64" spans="1:2" x14ac:dyDescent="0.25">
      <c r="A64" s="12">
        <v>5</v>
      </c>
      <c r="B64" s="7"/>
    </row>
    <row r="65" spans="1:2" x14ac:dyDescent="0.25">
      <c r="A65" s="12">
        <v>6</v>
      </c>
      <c r="B65" s="7"/>
    </row>
    <row r="66" spans="1:2" x14ac:dyDescent="0.25">
      <c r="A66" s="12">
        <v>7</v>
      </c>
      <c r="B66" s="7"/>
    </row>
    <row r="67" spans="1:2" x14ac:dyDescent="0.25">
      <c r="A67" s="12">
        <v>8</v>
      </c>
      <c r="B67" s="7"/>
    </row>
    <row r="69" spans="1:2" x14ac:dyDescent="0.25">
      <c r="A69" s="5" t="s">
        <v>146</v>
      </c>
      <c r="B69" s="5"/>
    </row>
    <row r="70" spans="1:2" x14ac:dyDescent="0.25">
      <c r="A70" s="3" t="s">
        <v>48</v>
      </c>
      <c r="B70" s="3" t="s">
        <v>59</v>
      </c>
    </row>
    <row r="71" spans="1:2" x14ac:dyDescent="0.25">
      <c r="A71" s="12">
        <v>1</v>
      </c>
      <c r="B71" s="7"/>
    </row>
    <row r="72" spans="1:2" x14ac:dyDescent="0.25">
      <c r="A72" s="12">
        <v>2</v>
      </c>
      <c r="B72" s="7"/>
    </row>
    <row r="73" spans="1:2" x14ac:dyDescent="0.25">
      <c r="A73" s="12">
        <v>3</v>
      </c>
      <c r="B73" s="7"/>
    </row>
    <row r="74" spans="1:2" x14ac:dyDescent="0.25">
      <c r="A74" s="12">
        <v>4</v>
      </c>
      <c r="B74" s="7"/>
    </row>
    <row r="76" spans="1:2" x14ac:dyDescent="0.25">
      <c r="A76" s="5" t="s">
        <v>147</v>
      </c>
      <c r="B76" s="5"/>
    </row>
    <row r="77" spans="1:2" x14ac:dyDescent="0.25">
      <c r="A77" s="3" t="s">
        <v>48</v>
      </c>
      <c r="B77" s="3" t="s">
        <v>59</v>
      </c>
    </row>
    <row r="78" spans="1:2" x14ac:dyDescent="0.25">
      <c r="A78" s="12">
        <v>1</v>
      </c>
      <c r="B78" s="7"/>
    </row>
    <row r="79" spans="1:2" x14ac:dyDescent="0.25">
      <c r="A79" s="12">
        <v>2</v>
      </c>
      <c r="B79" s="7"/>
    </row>
  </sheetData>
  <mergeCells count="7">
    <mergeCell ref="A1:B1"/>
    <mergeCell ref="A2:B2"/>
    <mergeCell ref="A4:B4"/>
    <mergeCell ref="A39:B39"/>
    <mergeCell ref="A58:B58"/>
    <mergeCell ref="A69:B69"/>
    <mergeCell ref="A76:B7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2" customWidth="1"/>
    <col min="2" max="2" width="32" customWidth="1"/>
  </cols>
  <sheetData>
    <row r="1" ht="28" customHeight="1" spans="1:2" x14ac:dyDescent="0.25">
      <c r="A1" s="1" t="s">
        <v>148</v>
      </c>
      <c r="B1" s="1"/>
    </row>
    <row r="3" spans="1:1" x14ac:dyDescent="0.25">
      <c r="A3" s="2" t="s">
        <v>149</v>
      </c>
    </row>
    <row r="4" spans="1:2" x14ac:dyDescent="0.25">
      <c r="A4" s="9" t="s">
        <v>150</v>
      </c>
      <c r="B4" s="7"/>
    </row>
    <row r="5" spans="1:2" x14ac:dyDescent="0.25">
      <c r="A5" s="9" t="s">
        <v>151</v>
      </c>
      <c r="B5" s="7"/>
    </row>
    <row r="6" spans="1:2" x14ac:dyDescent="0.25">
      <c r="A6" s="9" t="s">
        <v>152</v>
      </c>
      <c r="B6" s="7"/>
    </row>
    <row r="7" spans="1:2" x14ac:dyDescent="0.25">
      <c r="A7" s="9" t="s">
        <v>153</v>
      </c>
      <c r="B7" s="7"/>
    </row>
    <row r="9" spans="1:1" x14ac:dyDescent="0.25">
      <c r="A9" s="2" t="s">
        <v>154</v>
      </c>
    </row>
    <row r="10" spans="1:2" x14ac:dyDescent="0.25">
      <c r="A10" s="9" t="s">
        <v>155</v>
      </c>
      <c r="B10" s="7"/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JUGADOR</vt:lpstr>
      <vt:lpstr>FASE_DE_GRUPOS</vt:lpstr>
      <vt:lpstr>ELIMINATORIAS</vt:lpstr>
      <vt:lpstr>TOP_GOLEADOR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Generador Polla 2026</dc:creator>
  <dc:title/>
  <dc:subject/>
  <dc:description/>
  <cp:keywords/>
  <cp:category/>
  <cp:lastModifiedBy>Unknown</cp:lastModifiedBy>
  <dcterms:created xsi:type="dcterms:W3CDTF">2026-05-19T17:35:36Z</dcterms:created>
  <dcterms:modified xsi:type="dcterms:W3CDTF">2026-05-19T17:35:36Z</dcterms:modified>
</cp:coreProperties>
</file>